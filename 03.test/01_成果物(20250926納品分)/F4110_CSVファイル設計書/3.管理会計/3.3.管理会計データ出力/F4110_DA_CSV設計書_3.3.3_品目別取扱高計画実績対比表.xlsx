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mc:AlternateContent xmlns:mc="http://schemas.openxmlformats.org/markup-compatibility/2006">
    <mc:Choice Requires="x15">
      <x15ac:absPath xmlns:x15ac="http://schemas.microsoft.com/office/spreadsheetml/2010/11/ac" url="C:\Users\user\work\012_DA\doc\20_外部設計\01_成果物\F4110_CSVファイル設計書\3.管理会計\3.3.管理会計データ出力\"/>
    </mc:Choice>
  </mc:AlternateContent>
  <xr:revisionPtr revIDLastSave="0" documentId="13_ncr:1_{427251D0-8527-478C-B937-C0C4B450EA5B}" xr6:coauthVersionLast="47" xr6:coauthVersionMax="47" xr10:uidLastSave="{00000000-0000-0000-0000-000000000000}"/>
  <bookViews>
    <workbookView xWindow="-108" yWindow="-108" windowWidth="23256" windowHeight="13896" tabRatio="862" xr2:uid="{00000000-000D-0000-FFFF-FFFF00000000}"/>
  </bookViews>
  <sheets>
    <sheet name="変更履歴" sheetId="27" r:id="rId1"/>
    <sheet name="項目定義書" sheetId="28" r:id="rId2"/>
    <sheet name="CSVイメージ" sheetId="31" r:id="rId3"/>
    <sheet name="CSVイメージ _データ_1" sheetId="38" r:id="rId4"/>
    <sheet name="CSVイメージ _データ_２" sheetId="39" r:id="rId5"/>
    <sheet name="CSVイメージ _データ(施設・会計情報品名が指定された場合)" sheetId="42" r:id="rId6"/>
    <sheet name="取込チェック・単体" sheetId="22" r:id="rId7"/>
    <sheet name="取込チェック・関連" sheetId="23" r:id="rId8"/>
  </sheets>
  <definedNames>
    <definedName name="_xlnm._FilterDatabase" localSheetId="2" hidden="1">CSVイメージ!$A$9:$BJ$9</definedName>
    <definedName name="_xlnm._FilterDatabase" localSheetId="1" hidden="1">項目定義書!$A$29:$BJ$29</definedName>
    <definedName name="_xlnm.Print_Area" localSheetId="2">CSVイメージ!$A$1:$BJ$53</definedName>
    <definedName name="_xlnm.Print_Area" localSheetId="1">項目定義書!$A$1:$BJ$72</definedName>
    <definedName name="_xlnm.Print_Area" localSheetId="7">取込チェック・関連!$A$1:$BJ$33</definedName>
    <definedName name="_xlnm.Print_Area" localSheetId="6">取込チェック・単体!$A$1:$BJ$33</definedName>
    <definedName name="_xlnm.Print_Area" localSheetId="0">変更履歴!$A$1:$BJ$60</definedName>
    <definedName name="_xlnm.Print_Titles" localSheetId="2">CSVイメージ!$1:$9</definedName>
    <definedName name="_xlnm.Print_Titles" localSheetId="1">項目定義書!$1:$29</definedName>
    <definedName name="_xlnm.Print_Titles" localSheetId="7">取込チェック・関連!$1:$8</definedName>
    <definedName name="_xlnm.Print_Titles" localSheetId="6">取込チェック・単体!$1:$8</definedName>
    <definedName name="_xlnm.Print_Titles" localSheetId="0">変更履歴!$1:$5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123" i="39" l="1"/>
  <c r="AC123" i="39"/>
  <c r="AH123" i="39"/>
  <c r="AJ123" i="39"/>
  <c r="AK123" i="39"/>
  <c r="AK134" i="39"/>
  <c r="AJ134" i="39"/>
  <c r="AI134" i="39"/>
  <c r="AH134" i="39"/>
  <c r="AG134" i="39"/>
  <c r="AF134" i="39"/>
  <c r="AE134" i="39"/>
  <c r="AD134" i="39"/>
  <c r="AB134" i="39"/>
  <c r="Z134" i="39"/>
  <c r="AC134" i="39" s="1"/>
  <c r="Y134" i="39"/>
  <c r="BF6" i="31"/>
  <c r="AA134" i="39" l="1"/>
  <c r="AI34" i="42"/>
  <c r="AI35" i="42" s="1"/>
  <c r="AG34" i="42"/>
  <c r="AG35" i="42" s="1"/>
  <c r="AF34" i="42"/>
  <c r="AF35" i="42" s="1"/>
  <c r="AE34" i="42"/>
  <c r="AD34" i="42"/>
  <c r="AD35" i="42" s="1"/>
  <c r="AB34" i="42"/>
  <c r="AB35" i="42" s="1"/>
  <c r="Z34" i="42"/>
  <c r="Z35" i="42" s="1"/>
  <c r="Y34" i="42"/>
  <c r="Y35" i="42" s="1"/>
  <c r="AK33" i="42"/>
  <c r="AJ33" i="42"/>
  <c r="AH33" i="42"/>
  <c r="AC33" i="42"/>
  <c r="AA33" i="42"/>
  <c r="AI30" i="42"/>
  <c r="AI31" i="42" s="1"/>
  <c r="AG30" i="42"/>
  <c r="AG31" i="42" s="1"/>
  <c r="AF30" i="42"/>
  <c r="AF31" i="42" s="1"/>
  <c r="AE30" i="42"/>
  <c r="AD30" i="42"/>
  <c r="AD31" i="42" s="1"/>
  <c r="AB30" i="42"/>
  <c r="AB31" i="42" s="1"/>
  <c r="Z30" i="42"/>
  <c r="Y30" i="42"/>
  <c r="Y31" i="42" s="1"/>
  <c r="AK29" i="42"/>
  <c r="AJ29" i="42"/>
  <c r="AH29" i="42"/>
  <c r="AC29" i="42"/>
  <c r="AA29" i="42"/>
  <c r="AI26" i="42"/>
  <c r="AI27" i="42" s="1"/>
  <c r="AG26" i="42"/>
  <c r="AG27" i="42" s="1"/>
  <c r="AF26" i="42"/>
  <c r="AF27" i="42" s="1"/>
  <c r="AE26" i="42"/>
  <c r="AD26" i="42"/>
  <c r="AD27" i="42" s="1"/>
  <c r="AB26" i="42"/>
  <c r="Z26" i="42"/>
  <c r="Z27" i="42" s="1"/>
  <c r="Y26" i="42"/>
  <c r="Y27" i="42" s="1"/>
  <c r="AK25" i="42"/>
  <c r="AJ25" i="42"/>
  <c r="AH25" i="42"/>
  <c r="AC25" i="42"/>
  <c r="AA25" i="42"/>
  <c r="AI22" i="42"/>
  <c r="AI23" i="42" s="1"/>
  <c r="AG22" i="42"/>
  <c r="AG23" i="42" s="1"/>
  <c r="AF22" i="42"/>
  <c r="AF23" i="42" s="1"/>
  <c r="AE22" i="42"/>
  <c r="AE23" i="42" s="1"/>
  <c r="AD22" i="42"/>
  <c r="AD23" i="42" s="1"/>
  <c r="AB22" i="42"/>
  <c r="AB23" i="42" s="1"/>
  <c r="Z22" i="42"/>
  <c r="AC22" i="42" s="1"/>
  <c r="Y22" i="42"/>
  <c r="Y23" i="42" s="1"/>
  <c r="AK21" i="42"/>
  <c r="AJ21" i="42"/>
  <c r="AH21" i="42"/>
  <c r="AC21" i="42"/>
  <c r="AA21" i="42"/>
  <c r="AI173" i="39"/>
  <c r="AI174" i="39" s="1"/>
  <c r="AG173" i="39"/>
  <c r="AG174" i="39" s="1"/>
  <c r="AF173" i="39"/>
  <c r="AF174" i="39" s="1"/>
  <c r="AE173" i="39"/>
  <c r="AE174" i="39" s="1"/>
  <c r="AD173" i="39"/>
  <c r="AD174" i="39" s="1"/>
  <c r="AB173" i="39"/>
  <c r="AB174" i="39" s="1"/>
  <c r="Z173" i="39"/>
  <c r="Z174" i="39" s="1"/>
  <c r="Y173" i="39"/>
  <c r="Y174" i="39" s="1"/>
  <c r="AK172" i="39"/>
  <c r="AJ172" i="39"/>
  <c r="AH172" i="39"/>
  <c r="AC172" i="39"/>
  <c r="AA172" i="39"/>
  <c r="AI162" i="39"/>
  <c r="AI163" i="39" s="1"/>
  <c r="AG162" i="39"/>
  <c r="AG163" i="39" s="1"/>
  <c r="AF162" i="39"/>
  <c r="AF163" i="39" s="1"/>
  <c r="AE162" i="39"/>
  <c r="AE163" i="39" s="1"/>
  <c r="AD162" i="39"/>
  <c r="AD163" i="39" s="1"/>
  <c r="AB162" i="39"/>
  <c r="AB163" i="39" s="1"/>
  <c r="Z162" i="39"/>
  <c r="Z163" i="39" s="1"/>
  <c r="Y162" i="39"/>
  <c r="Y163" i="39" s="1"/>
  <c r="AK161" i="39"/>
  <c r="AJ161" i="39"/>
  <c r="AH161" i="39"/>
  <c r="AC161" i="39"/>
  <c r="AA161" i="39"/>
  <c r="AI78" i="39"/>
  <c r="AI79" i="39" s="1"/>
  <c r="AG78" i="39"/>
  <c r="AG79" i="39" s="1"/>
  <c r="AF78" i="39"/>
  <c r="AF79" i="39" s="1"/>
  <c r="AE78" i="39"/>
  <c r="AD78" i="39"/>
  <c r="AD79" i="39" s="1"/>
  <c r="AB78" i="39"/>
  <c r="AB79" i="39" s="1"/>
  <c r="Z78" i="39"/>
  <c r="Y78" i="39"/>
  <c r="Y79" i="39" s="1"/>
  <c r="AK77" i="39"/>
  <c r="AJ77" i="39"/>
  <c r="AH77" i="39"/>
  <c r="AC77" i="39"/>
  <c r="AA77" i="39"/>
  <c r="AI75" i="39"/>
  <c r="AI76" i="39" s="1"/>
  <c r="AG75" i="39"/>
  <c r="AG76" i="39" s="1"/>
  <c r="AF75" i="39"/>
  <c r="AF76" i="39" s="1"/>
  <c r="AE75" i="39"/>
  <c r="AE76" i="39" s="1"/>
  <c r="AD75" i="39"/>
  <c r="AD76" i="39" s="1"/>
  <c r="AB75" i="39"/>
  <c r="Z75" i="39"/>
  <c r="Y75" i="39"/>
  <c r="Y76" i="39" s="1"/>
  <c r="AK74" i="39"/>
  <c r="AJ74" i="39"/>
  <c r="AH74" i="39"/>
  <c r="AC74" i="39"/>
  <c r="AA74" i="39"/>
  <c r="AI72" i="39"/>
  <c r="AI73" i="39" s="1"/>
  <c r="AG72" i="39"/>
  <c r="AG73" i="39" s="1"/>
  <c r="AF72" i="39"/>
  <c r="AF73" i="39" s="1"/>
  <c r="AE72" i="39"/>
  <c r="AD72" i="39"/>
  <c r="AD73" i="39" s="1"/>
  <c r="AB72" i="39"/>
  <c r="AB73" i="39" s="1"/>
  <c r="Z72" i="39"/>
  <c r="Y72" i="39"/>
  <c r="Y73" i="39" s="1"/>
  <c r="AK71" i="39"/>
  <c r="AJ71" i="39"/>
  <c r="AH71" i="39"/>
  <c r="AC71" i="39"/>
  <c r="AA71" i="39"/>
  <c r="AI69" i="39"/>
  <c r="AI70" i="39" s="1"/>
  <c r="AG69" i="39"/>
  <c r="AG70" i="39" s="1"/>
  <c r="AF69" i="39"/>
  <c r="AF70" i="39" s="1"/>
  <c r="AE69" i="39"/>
  <c r="AE70" i="39" s="1"/>
  <c r="AD69" i="39"/>
  <c r="AD70" i="39" s="1"/>
  <c r="AB69" i="39"/>
  <c r="AB70" i="39" s="1"/>
  <c r="Z69" i="39"/>
  <c r="Y69" i="39"/>
  <c r="AK68" i="39"/>
  <c r="AJ68" i="39"/>
  <c r="AH68" i="39"/>
  <c r="AC68" i="39"/>
  <c r="AA68" i="39"/>
  <c r="AI66" i="39"/>
  <c r="AI67" i="39" s="1"/>
  <c r="AG66" i="39"/>
  <c r="AG67" i="39" s="1"/>
  <c r="AF66" i="39"/>
  <c r="AF67" i="39" s="1"/>
  <c r="AE66" i="39"/>
  <c r="AD66" i="39"/>
  <c r="AD67" i="39" s="1"/>
  <c r="AB66" i="39"/>
  <c r="AB67" i="39" s="1"/>
  <c r="Z66" i="39"/>
  <c r="Z67" i="39" s="1"/>
  <c r="Y66" i="39"/>
  <c r="Y67" i="39" s="1"/>
  <c r="AK65" i="39"/>
  <c r="AJ65" i="39"/>
  <c r="AH65" i="39"/>
  <c r="AC65" i="39"/>
  <c r="AA65" i="39"/>
  <c r="AI63" i="39"/>
  <c r="AI64" i="39" s="1"/>
  <c r="AG63" i="39"/>
  <c r="AG64" i="39" s="1"/>
  <c r="AF63" i="39"/>
  <c r="AF64" i="39" s="1"/>
  <c r="AE63" i="39"/>
  <c r="AE64" i="39" s="1"/>
  <c r="AD63" i="39"/>
  <c r="AD64" i="39" s="1"/>
  <c r="AB63" i="39"/>
  <c r="AB64" i="39" s="1"/>
  <c r="Z63" i="39"/>
  <c r="Z64" i="39" s="1"/>
  <c r="Y63" i="39"/>
  <c r="AK62" i="39"/>
  <c r="AJ62" i="39"/>
  <c r="AH62" i="39"/>
  <c r="AC62" i="39"/>
  <c r="AA62" i="39"/>
  <c r="AI60" i="39"/>
  <c r="AI61" i="39" s="1"/>
  <c r="AG60" i="39"/>
  <c r="AG61" i="39" s="1"/>
  <c r="AF60" i="39"/>
  <c r="AF61" i="39" s="1"/>
  <c r="AE60" i="39"/>
  <c r="AE61" i="39" s="1"/>
  <c r="AD60" i="39"/>
  <c r="AD61" i="39" s="1"/>
  <c r="AB60" i="39"/>
  <c r="AB61" i="39" s="1"/>
  <c r="Z60" i="39"/>
  <c r="Z61" i="39" s="1"/>
  <c r="Y60" i="39"/>
  <c r="Y61" i="39" s="1"/>
  <c r="AK59" i="39"/>
  <c r="AJ59" i="39"/>
  <c r="AH59" i="39"/>
  <c r="AC59" i="39"/>
  <c r="AA59" i="39"/>
  <c r="AI57" i="39"/>
  <c r="AI58" i="39" s="1"/>
  <c r="AG57" i="39"/>
  <c r="AG58" i="39" s="1"/>
  <c r="AF57" i="39"/>
  <c r="AF58" i="39" s="1"/>
  <c r="AE57" i="39"/>
  <c r="AE58" i="39" s="1"/>
  <c r="AD57" i="39"/>
  <c r="AD58" i="39" s="1"/>
  <c r="AB57" i="39"/>
  <c r="AB58" i="39" s="1"/>
  <c r="Z57" i="39"/>
  <c r="Z58" i="39" s="1"/>
  <c r="Y57" i="39"/>
  <c r="Y58" i="39" s="1"/>
  <c r="AK56" i="39"/>
  <c r="AJ56" i="39"/>
  <c r="AH56" i="39"/>
  <c r="AC56" i="39"/>
  <c r="AA56" i="39"/>
  <c r="AI54" i="39"/>
  <c r="AI55" i="39" s="1"/>
  <c r="AG54" i="39"/>
  <c r="AG55" i="39" s="1"/>
  <c r="AF54" i="39"/>
  <c r="AF55" i="39" s="1"/>
  <c r="AE54" i="39"/>
  <c r="AE55" i="39" s="1"/>
  <c r="AD54" i="39"/>
  <c r="AD55" i="39" s="1"/>
  <c r="AB54" i="39"/>
  <c r="AB55" i="39" s="1"/>
  <c r="Z54" i="39"/>
  <c r="Y54" i="39"/>
  <c r="Y55" i="39" s="1"/>
  <c r="AK53" i="39"/>
  <c r="AJ53" i="39"/>
  <c r="AH53" i="39"/>
  <c r="AC53" i="39"/>
  <c r="AA53" i="39"/>
  <c r="AI51" i="39"/>
  <c r="AI52" i="39" s="1"/>
  <c r="AG51" i="39"/>
  <c r="AG52" i="39" s="1"/>
  <c r="AF51" i="39"/>
  <c r="AF52" i="39" s="1"/>
  <c r="AE51" i="39"/>
  <c r="AE52" i="39" s="1"/>
  <c r="AD51" i="39"/>
  <c r="AD52" i="39" s="1"/>
  <c r="AB51" i="39"/>
  <c r="AB52" i="39" s="1"/>
  <c r="Z51" i="39"/>
  <c r="Z52" i="39" s="1"/>
  <c r="Y51" i="39"/>
  <c r="Y52" i="39" s="1"/>
  <c r="AK50" i="39"/>
  <c r="AJ50" i="39"/>
  <c r="AH50" i="39"/>
  <c r="AC50" i="39"/>
  <c r="AA50" i="39"/>
  <c r="AI45" i="39"/>
  <c r="AI46" i="39" s="1"/>
  <c r="AG45" i="39"/>
  <c r="AG46" i="39" s="1"/>
  <c r="AF45" i="39"/>
  <c r="AF46" i="39" s="1"/>
  <c r="AE45" i="39"/>
  <c r="AE46" i="39" s="1"/>
  <c r="AD45" i="39"/>
  <c r="AB45" i="39"/>
  <c r="Z45" i="39"/>
  <c r="Z46" i="39" s="1"/>
  <c r="Y45" i="39"/>
  <c r="Y46" i="39" s="1"/>
  <c r="AK44" i="39"/>
  <c r="AJ44" i="39"/>
  <c r="AH44" i="39"/>
  <c r="AC44" i="39"/>
  <c r="AA44" i="39"/>
  <c r="AI42" i="39"/>
  <c r="AG42" i="39"/>
  <c r="AG43" i="39" s="1"/>
  <c r="AF42" i="39"/>
  <c r="AF43" i="39" s="1"/>
  <c r="AE42" i="39"/>
  <c r="AE43" i="39" s="1"/>
  <c r="AD42" i="39"/>
  <c r="AD43" i="39" s="1"/>
  <c r="AB42" i="39"/>
  <c r="Z42" i="39"/>
  <c r="Z43" i="39" s="1"/>
  <c r="Y42" i="39"/>
  <c r="Y43" i="39" s="1"/>
  <c r="AK41" i="39"/>
  <c r="AJ41" i="39"/>
  <c r="AH41" i="39"/>
  <c r="AC41" i="39"/>
  <c r="AA41" i="39"/>
  <c r="AI48" i="39"/>
  <c r="AI49" i="39" s="1"/>
  <c r="AG48" i="39"/>
  <c r="AG49" i="39" s="1"/>
  <c r="AF48" i="39"/>
  <c r="AF49" i="39" s="1"/>
  <c r="AE48" i="39"/>
  <c r="AE49" i="39" s="1"/>
  <c r="AD48" i="39"/>
  <c r="AD49" i="39" s="1"/>
  <c r="AB48" i="39"/>
  <c r="AB49" i="39" s="1"/>
  <c r="Z48" i="39"/>
  <c r="Z49" i="39" s="1"/>
  <c r="Y48" i="39"/>
  <c r="Y49" i="39" s="1"/>
  <c r="AK47" i="39"/>
  <c r="AJ47" i="39"/>
  <c r="AH47" i="39"/>
  <c r="AC47" i="39"/>
  <c r="AA47" i="39"/>
  <c r="AI39" i="39"/>
  <c r="AI40" i="39" s="1"/>
  <c r="AG39" i="39"/>
  <c r="AG40" i="39" s="1"/>
  <c r="AF39" i="39"/>
  <c r="AF40" i="39" s="1"/>
  <c r="AE39" i="39"/>
  <c r="AE40" i="39" s="1"/>
  <c r="AD39" i="39"/>
  <c r="AD40" i="39" s="1"/>
  <c r="AB39" i="39"/>
  <c r="AB40" i="39" s="1"/>
  <c r="Z39" i="39"/>
  <c r="Y39" i="39"/>
  <c r="Y40" i="39" s="1"/>
  <c r="AK38" i="39"/>
  <c r="AJ38" i="39"/>
  <c r="AH38" i="39"/>
  <c r="AC38" i="39"/>
  <c r="AA38" i="39"/>
  <c r="AI33" i="39"/>
  <c r="AG33" i="39"/>
  <c r="AG15" i="39" s="1"/>
  <c r="AF33" i="39"/>
  <c r="AF15" i="39" s="1"/>
  <c r="AE33" i="39"/>
  <c r="AD33" i="39"/>
  <c r="AB33" i="39"/>
  <c r="AB15" i="39" s="1"/>
  <c r="Z33" i="39"/>
  <c r="Y33" i="39"/>
  <c r="Y15" i="39" s="1"/>
  <c r="AI30" i="39"/>
  <c r="AI31" i="39" s="1"/>
  <c r="AI32" i="39" s="1"/>
  <c r="AG30" i="39"/>
  <c r="AG31" i="39" s="1"/>
  <c r="AG32" i="39" s="1"/>
  <c r="AF30" i="39"/>
  <c r="AF31" i="39" s="1"/>
  <c r="AF32" i="39" s="1"/>
  <c r="AE30" i="39"/>
  <c r="AE31" i="39" s="1"/>
  <c r="AD30" i="39"/>
  <c r="AD31" i="39" s="1"/>
  <c r="AD32" i="39" s="1"/>
  <c r="AB30" i="39"/>
  <c r="AB31" i="39" s="1"/>
  <c r="AB32" i="39" s="1"/>
  <c r="Z30" i="39"/>
  <c r="Y30" i="39"/>
  <c r="Y31" i="39" s="1"/>
  <c r="Y32" i="39" s="1"/>
  <c r="AI28" i="39"/>
  <c r="AG28" i="39"/>
  <c r="AF28" i="39"/>
  <c r="AE28" i="39"/>
  <c r="AD28" i="39"/>
  <c r="AB28" i="39"/>
  <c r="Z28" i="39"/>
  <c r="AK27" i="39"/>
  <c r="AJ27" i="39"/>
  <c r="AH27" i="39"/>
  <c r="AC27" i="39"/>
  <c r="Y27" i="39"/>
  <c r="AA27" i="39" s="1"/>
  <c r="AI25" i="39"/>
  <c r="AI26" i="39" s="1"/>
  <c r="AI29" i="39" s="1"/>
  <c r="AG25" i="39"/>
  <c r="AG26" i="39" s="1"/>
  <c r="AF25" i="39"/>
  <c r="AF26" i="39" s="1"/>
  <c r="AE25" i="39"/>
  <c r="AE26" i="39" s="1"/>
  <c r="AD25" i="39"/>
  <c r="AD26" i="39" s="1"/>
  <c r="AD29" i="39" s="1"/>
  <c r="AB25" i="39"/>
  <c r="AB26" i="39" s="1"/>
  <c r="Z25" i="39"/>
  <c r="Z26" i="39" s="1"/>
  <c r="Y25" i="39"/>
  <c r="Y26" i="39" s="1"/>
  <c r="AI22" i="39"/>
  <c r="AI13" i="39" s="1"/>
  <c r="AG22" i="39"/>
  <c r="AG13" i="39" s="1"/>
  <c r="AF22" i="39"/>
  <c r="AF13" i="39" s="1"/>
  <c r="AE22" i="39"/>
  <c r="AE23" i="39" s="1"/>
  <c r="AD22" i="39"/>
  <c r="AD13" i="39" s="1"/>
  <c r="AB22" i="39"/>
  <c r="AB23" i="39" s="1"/>
  <c r="Z22" i="39"/>
  <c r="Y22" i="39"/>
  <c r="Y13" i="39" s="1"/>
  <c r="AI20" i="39"/>
  <c r="AG20" i="39"/>
  <c r="AG21" i="39" s="1"/>
  <c r="AF20" i="39"/>
  <c r="AF21" i="39" s="1"/>
  <c r="AE20" i="39"/>
  <c r="AE21" i="39" s="1"/>
  <c r="AD20" i="39"/>
  <c r="AD21" i="39" s="1"/>
  <c r="AB20" i="39"/>
  <c r="Z20" i="39"/>
  <c r="Z21" i="39" s="1"/>
  <c r="Y20" i="39"/>
  <c r="Y21" i="39" s="1"/>
  <c r="AI14" i="39"/>
  <c r="AG14" i="39"/>
  <c r="AF14" i="39"/>
  <c r="AE14" i="39"/>
  <c r="AD14" i="39"/>
  <c r="AB14" i="39"/>
  <c r="Z14" i="39"/>
  <c r="AI87" i="39"/>
  <c r="AG87" i="39"/>
  <c r="AF87" i="39"/>
  <c r="AE87" i="39"/>
  <c r="AD87" i="39"/>
  <c r="AB87" i="39"/>
  <c r="Z87" i="39"/>
  <c r="AI106" i="39"/>
  <c r="AI88" i="39" s="1"/>
  <c r="AG106" i="39"/>
  <c r="AG88" i="39" s="1"/>
  <c r="AF106" i="39"/>
  <c r="AF88" i="39" s="1"/>
  <c r="AE106" i="39"/>
  <c r="AE88" i="39" s="1"/>
  <c r="AD106" i="39"/>
  <c r="AD88" i="39" s="1"/>
  <c r="AB106" i="39"/>
  <c r="AB88" i="39" s="1"/>
  <c r="Z106" i="39"/>
  <c r="Y106" i="39"/>
  <c r="Y88" i="39" s="1"/>
  <c r="AI99" i="38"/>
  <c r="AG99" i="38"/>
  <c r="AF99" i="38"/>
  <c r="AE99" i="38"/>
  <c r="AD99" i="38"/>
  <c r="AB99" i="38"/>
  <c r="Z99" i="38"/>
  <c r="Y99" i="38"/>
  <c r="AK98" i="38"/>
  <c r="AJ98" i="38"/>
  <c r="AH98" i="38"/>
  <c r="AC98" i="38"/>
  <c r="AA98" i="38"/>
  <c r="AI97" i="38"/>
  <c r="AI100" i="38" s="1"/>
  <c r="AG97" i="38"/>
  <c r="AF97" i="38"/>
  <c r="AE97" i="38"/>
  <c r="AD97" i="38"/>
  <c r="AB97" i="38"/>
  <c r="Z97" i="38"/>
  <c r="Y97" i="38"/>
  <c r="AK96" i="38"/>
  <c r="AJ96" i="38"/>
  <c r="AH96" i="38"/>
  <c r="AA96" i="38"/>
  <c r="AK95" i="38"/>
  <c r="AJ95" i="38"/>
  <c r="AH95" i="38"/>
  <c r="AC95" i="38"/>
  <c r="AA95" i="38"/>
  <c r="AI85" i="38"/>
  <c r="AG85" i="38"/>
  <c r="AF85" i="38"/>
  <c r="AE85" i="38"/>
  <c r="AD85" i="38"/>
  <c r="AB85" i="38"/>
  <c r="Z85" i="38"/>
  <c r="Y85" i="38"/>
  <c r="AK84" i="38"/>
  <c r="AJ84" i="38"/>
  <c r="AH84" i="38"/>
  <c r="AC84" i="38"/>
  <c r="AA84" i="38"/>
  <c r="AI83" i="38"/>
  <c r="AG83" i="38"/>
  <c r="AF83" i="38"/>
  <c r="AE83" i="38"/>
  <c r="AD83" i="38"/>
  <c r="AB83" i="38"/>
  <c r="Z83" i="38"/>
  <c r="AC83" i="38" s="1"/>
  <c r="Y83" i="38"/>
  <c r="AK82" i="38"/>
  <c r="AJ82" i="38"/>
  <c r="AH82" i="38"/>
  <c r="AA82" i="38"/>
  <c r="AK81" i="38"/>
  <c r="AJ81" i="38"/>
  <c r="AH81" i="38"/>
  <c r="AC81" i="38"/>
  <c r="AA81" i="38"/>
  <c r="AI151" i="39"/>
  <c r="AI152" i="39" s="1"/>
  <c r="AG151" i="39"/>
  <c r="AG152" i="39" s="1"/>
  <c r="AF151" i="39"/>
  <c r="AE151" i="39"/>
  <c r="AE152" i="39" s="1"/>
  <c r="AD151" i="39"/>
  <c r="AB151" i="39"/>
  <c r="Z151" i="39"/>
  <c r="Z152" i="39" s="1"/>
  <c r="Y151" i="39"/>
  <c r="Y152" i="39" s="1"/>
  <c r="AK150" i="39"/>
  <c r="AJ150" i="39"/>
  <c r="AH150" i="39"/>
  <c r="AC150" i="39"/>
  <c r="AA150" i="39"/>
  <c r="AI148" i="39"/>
  <c r="AI149" i="39" s="1"/>
  <c r="AG148" i="39"/>
  <c r="AG149" i="39" s="1"/>
  <c r="AF148" i="39"/>
  <c r="AF149" i="39" s="1"/>
  <c r="AE148" i="39"/>
  <c r="AE149" i="39" s="1"/>
  <c r="AD148" i="39"/>
  <c r="AD149" i="39" s="1"/>
  <c r="AB148" i="39"/>
  <c r="AB149" i="39" s="1"/>
  <c r="Z148" i="39"/>
  <c r="Y148" i="39"/>
  <c r="Y107" i="39" s="1"/>
  <c r="Y89" i="39" s="1"/>
  <c r="AK147" i="39"/>
  <c r="AJ147" i="39"/>
  <c r="AH147" i="39"/>
  <c r="AC147" i="39"/>
  <c r="AA147" i="39"/>
  <c r="AI145" i="39"/>
  <c r="AI146" i="39" s="1"/>
  <c r="AG145" i="39"/>
  <c r="AG146" i="39" s="1"/>
  <c r="AF145" i="39"/>
  <c r="AF146" i="39" s="1"/>
  <c r="AE145" i="39"/>
  <c r="AD145" i="39"/>
  <c r="AD146" i="39" s="1"/>
  <c r="AB145" i="39"/>
  <c r="AB146" i="39" s="1"/>
  <c r="Z145" i="39"/>
  <c r="Z146" i="39" s="1"/>
  <c r="Y145" i="39"/>
  <c r="Y146" i="39" s="1"/>
  <c r="AK144" i="39"/>
  <c r="AJ144" i="39"/>
  <c r="AH144" i="39"/>
  <c r="AC144" i="39"/>
  <c r="AA144" i="39"/>
  <c r="AI142" i="39"/>
  <c r="AI143" i="39" s="1"/>
  <c r="AG142" i="39"/>
  <c r="AG143" i="39" s="1"/>
  <c r="AF142" i="39"/>
  <c r="AF143" i="39" s="1"/>
  <c r="AE142" i="39"/>
  <c r="AD142" i="39"/>
  <c r="AD143" i="39" s="1"/>
  <c r="AB142" i="39"/>
  <c r="AB143" i="39" s="1"/>
  <c r="Z142" i="39"/>
  <c r="Y142" i="39"/>
  <c r="Y143" i="39" s="1"/>
  <c r="AK141" i="39"/>
  <c r="AJ141" i="39"/>
  <c r="AH141" i="39"/>
  <c r="AC141" i="39"/>
  <c r="AA141" i="39"/>
  <c r="AI139" i="39"/>
  <c r="AI140" i="39" s="1"/>
  <c r="AG139" i="39"/>
  <c r="AG140" i="39" s="1"/>
  <c r="AF139" i="39"/>
  <c r="AF140" i="39" s="1"/>
  <c r="AE139" i="39"/>
  <c r="AD139" i="39"/>
  <c r="AD140" i="39" s="1"/>
  <c r="AB139" i="39"/>
  <c r="AB140" i="39" s="1"/>
  <c r="Z139" i="39"/>
  <c r="Y139" i="39"/>
  <c r="Y140" i="39" s="1"/>
  <c r="AK138" i="39"/>
  <c r="AJ138" i="39"/>
  <c r="AH138" i="39"/>
  <c r="AC138" i="39"/>
  <c r="AA138" i="39"/>
  <c r="AI136" i="39"/>
  <c r="AI137" i="39" s="1"/>
  <c r="AG136" i="39"/>
  <c r="AG137" i="39" s="1"/>
  <c r="AF136" i="39"/>
  <c r="AF137" i="39" s="1"/>
  <c r="AE136" i="39"/>
  <c r="AE137" i="39" s="1"/>
  <c r="AD136" i="39"/>
  <c r="AD137" i="39" s="1"/>
  <c r="AB136" i="39"/>
  <c r="AB137" i="39" s="1"/>
  <c r="Z136" i="39"/>
  <c r="Z137" i="39" s="1"/>
  <c r="Y136" i="39"/>
  <c r="Y137" i="39" s="1"/>
  <c r="AK135" i="39"/>
  <c r="AJ135" i="39"/>
  <c r="AH135" i="39"/>
  <c r="AC135" i="39"/>
  <c r="AA135" i="39"/>
  <c r="AI133" i="39"/>
  <c r="AG133" i="39"/>
  <c r="AF133" i="39"/>
  <c r="AE133" i="39"/>
  <c r="AD133" i="39"/>
  <c r="AB133" i="39"/>
  <c r="Z133" i="39"/>
  <c r="Y133" i="39"/>
  <c r="AK132" i="39"/>
  <c r="AJ132" i="39"/>
  <c r="AH132" i="39"/>
  <c r="AC132" i="39"/>
  <c r="AA132" i="39"/>
  <c r="AI130" i="39"/>
  <c r="AI131" i="39" s="1"/>
  <c r="AG130" i="39"/>
  <c r="AG131" i="39" s="1"/>
  <c r="AF130" i="39"/>
  <c r="AF131" i="39" s="1"/>
  <c r="AE130" i="39"/>
  <c r="AE131" i="39" s="1"/>
  <c r="AD130" i="39"/>
  <c r="AD131" i="39" s="1"/>
  <c r="AB130" i="39"/>
  <c r="AB131" i="39" s="1"/>
  <c r="Z130" i="39"/>
  <c r="Z131" i="39" s="1"/>
  <c r="Y130" i="39"/>
  <c r="Y131" i="39" s="1"/>
  <c r="AK129" i="39"/>
  <c r="AJ129" i="39"/>
  <c r="AH129" i="39"/>
  <c r="AC129" i="39"/>
  <c r="AA129" i="39"/>
  <c r="AI127" i="39"/>
  <c r="AG127" i="39"/>
  <c r="AG128" i="39" s="1"/>
  <c r="AF127" i="39"/>
  <c r="AF128" i="39" s="1"/>
  <c r="AE127" i="39"/>
  <c r="AE128" i="39" s="1"/>
  <c r="AD127" i="39"/>
  <c r="AD128" i="39" s="1"/>
  <c r="AB127" i="39"/>
  <c r="AB128" i="39" s="1"/>
  <c r="Z127" i="39"/>
  <c r="Y127" i="39"/>
  <c r="Y128" i="39" s="1"/>
  <c r="AK126" i="39"/>
  <c r="AJ126" i="39"/>
  <c r="AH126" i="39"/>
  <c r="AC126" i="39"/>
  <c r="AA126" i="39"/>
  <c r="AI124" i="39"/>
  <c r="AI125" i="39" s="1"/>
  <c r="AG124" i="39"/>
  <c r="AG125" i="39" s="1"/>
  <c r="AF124" i="39"/>
  <c r="AF125" i="39" s="1"/>
  <c r="AE124" i="39"/>
  <c r="AD124" i="39"/>
  <c r="AD125" i="39" s="1"/>
  <c r="AB124" i="39"/>
  <c r="AB125" i="39" s="1"/>
  <c r="Z124" i="39"/>
  <c r="Z125" i="39" s="1"/>
  <c r="Y124" i="39"/>
  <c r="Y125" i="39" s="1"/>
  <c r="AI118" i="39"/>
  <c r="AI119" i="39" s="1"/>
  <c r="AG118" i="39"/>
  <c r="AG119" i="39" s="1"/>
  <c r="AF118" i="39"/>
  <c r="AF119" i="39" s="1"/>
  <c r="AE118" i="39"/>
  <c r="AD118" i="39"/>
  <c r="AD119" i="39" s="1"/>
  <c r="AB118" i="39"/>
  <c r="AB119" i="39" s="1"/>
  <c r="Z118" i="39"/>
  <c r="Y118" i="39"/>
  <c r="Y119" i="39" s="1"/>
  <c r="AK117" i="39"/>
  <c r="AJ117" i="39"/>
  <c r="AH117" i="39"/>
  <c r="AC117" i="39"/>
  <c r="AA117" i="39"/>
  <c r="AI115" i="39"/>
  <c r="AI116" i="39" s="1"/>
  <c r="AG115" i="39"/>
  <c r="AG116" i="39" s="1"/>
  <c r="AF115" i="39"/>
  <c r="AF116" i="39" s="1"/>
  <c r="AE115" i="39"/>
  <c r="AE116" i="39" s="1"/>
  <c r="AD115" i="39"/>
  <c r="AD116" i="39" s="1"/>
  <c r="AB115" i="39"/>
  <c r="AB116" i="39" s="1"/>
  <c r="Z115" i="39"/>
  <c r="Y115" i="39"/>
  <c r="Y116" i="39" s="1"/>
  <c r="AK114" i="39"/>
  <c r="AJ114" i="39"/>
  <c r="AH114" i="39"/>
  <c r="AC114" i="39"/>
  <c r="AA114" i="39"/>
  <c r="AI121" i="39"/>
  <c r="AI122" i="39" s="1"/>
  <c r="AG121" i="39"/>
  <c r="AG122" i="39" s="1"/>
  <c r="AF121" i="39"/>
  <c r="AF122" i="39" s="1"/>
  <c r="AE121" i="39"/>
  <c r="AE122" i="39" s="1"/>
  <c r="AD121" i="39"/>
  <c r="AD122" i="39" s="1"/>
  <c r="AB121" i="39"/>
  <c r="AB122" i="39" s="1"/>
  <c r="Z121" i="39"/>
  <c r="Z122" i="39" s="1"/>
  <c r="AC122" i="39" s="1"/>
  <c r="Y121" i="39"/>
  <c r="Y122" i="39" s="1"/>
  <c r="AK120" i="39"/>
  <c r="AJ120" i="39"/>
  <c r="AH120" i="39"/>
  <c r="AC120" i="39"/>
  <c r="AA120" i="39"/>
  <c r="AI112" i="39"/>
  <c r="AI113" i="39" s="1"/>
  <c r="AG112" i="39"/>
  <c r="AG113" i="39" s="1"/>
  <c r="AF112" i="39"/>
  <c r="AF113" i="39" s="1"/>
  <c r="AE112" i="39"/>
  <c r="AE113" i="39" s="1"/>
  <c r="AD112" i="39"/>
  <c r="AD113" i="39" s="1"/>
  <c r="AB112" i="39"/>
  <c r="AB113" i="39" s="1"/>
  <c r="Z112" i="39"/>
  <c r="Z113" i="39" s="1"/>
  <c r="Y112" i="39"/>
  <c r="Y113" i="39" s="1"/>
  <c r="AK111" i="39"/>
  <c r="AJ111" i="39"/>
  <c r="AH111" i="39"/>
  <c r="AC111" i="39"/>
  <c r="AA111" i="39"/>
  <c r="AI103" i="39"/>
  <c r="AI104" i="39" s="1"/>
  <c r="AI105" i="39" s="1"/>
  <c r="AG103" i="39"/>
  <c r="AG104" i="39" s="1"/>
  <c r="AG105" i="39" s="1"/>
  <c r="AF103" i="39"/>
  <c r="AF104" i="39" s="1"/>
  <c r="AF105" i="39" s="1"/>
  <c r="AE103" i="39"/>
  <c r="AD103" i="39"/>
  <c r="AD104" i="39" s="1"/>
  <c r="AD105" i="39" s="1"/>
  <c r="AB103" i="39"/>
  <c r="AB104" i="39" s="1"/>
  <c r="AB105" i="39" s="1"/>
  <c r="Z103" i="39"/>
  <c r="Y103" i="39"/>
  <c r="Y104" i="39" s="1"/>
  <c r="Y105" i="39" s="1"/>
  <c r="AI101" i="39"/>
  <c r="AG101" i="39"/>
  <c r="AF101" i="39"/>
  <c r="AE101" i="39"/>
  <c r="AD101" i="39"/>
  <c r="AB101" i="39"/>
  <c r="Z101" i="39"/>
  <c r="AK100" i="39"/>
  <c r="AJ100" i="39"/>
  <c r="AH100" i="39"/>
  <c r="AC100" i="39"/>
  <c r="Y100" i="39"/>
  <c r="Y101" i="39" s="1"/>
  <c r="AI98" i="39"/>
  <c r="AI99" i="39" s="1"/>
  <c r="AG98" i="39"/>
  <c r="AG99" i="39" s="1"/>
  <c r="AF98" i="39"/>
  <c r="AF99" i="39" s="1"/>
  <c r="AE98" i="39"/>
  <c r="AE99" i="39" s="1"/>
  <c r="AD98" i="39"/>
  <c r="AD99" i="39" s="1"/>
  <c r="AB98" i="39"/>
  <c r="AB99" i="39" s="1"/>
  <c r="Z98" i="39"/>
  <c r="Z99" i="39" s="1"/>
  <c r="Y98" i="39"/>
  <c r="Y99" i="39" s="1"/>
  <c r="AI95" i="39"/>
  <c r="AI86" i="39" s="1"/>
  <c r="AG95" i="39"/>
  <c r="AG96" i="39" s="1"/>
  <c r="AF95" i="39"/>
  <c r="AF96" i="39" s="1"/>
  <c r="AE95" i="39"/>
  <c r="AE86" i="39" s="1"/>
  <c r="AD95" i="39"/>
  <c r="AD96" i="39" s="1"/>
  <c r="AB95" i="39"/>
  <c r="AB96" i="39" s="1"/>
  <c r="Z95" i="39"/>
  <c r="Y95" i="39"/>
  <c r="Y86" i="39" s="1"/>
  <c r="AI93" i="39"/>
  <c r="AI94" i="39" s="1"/>
  <c r="AG93" i="39"/>
  <c r="AG94" i="39" s="1"/>
  <c r="AF93" i="39"/>
  <c r="AF94" i="39" s="1"/>
  <c r="AE93" i="39"/>
  <c r="AE94" i="39" s="1"/>
  <c r="AD93" i="39"/>
  <c r="AD94" i="39" s="1"/>
  <c r="AB93" i="39"/>
  <c r="AB94" i="39" s="1"/>
  <c r="Z93" i="39"/>
  <c r="Y93" i="39"/>
  <c r="Y94" i="39" s="1"/>
  <c r="AH131" i="39" l="1"/>
  <c r="AK131" i="39"/>
  <c r="AJ131" i="39"/>
  <c r="AC131" i="39"/>
  <c r="AA131" i="39"/>
  <c r="AJ122" i="39"/>
  <c r="AC113" i="39"/>
  <c r="AA113" i="39"/>
  <c r="AH113" i="39"/>
  <c r="AK113" i="39"/>
  <c r="AJ113" i="39"/>
  <c r="AK122" i="39"/>
  <c r="AH122" i="39"/>
  <c r="AA122" i="39"/>
  <c r="AC174" i="39"/>
  <c r="AA174" i="39"/>
  <c r="AK174" i="39"/>
  <c r="AJ174" i="39"/>
  <c r="AH174" i="39"/>
  <c r="AA163" i="39"/>
  <c r="AC163" i="39"/>
  <c r="AJ163" i="39"/>
  <c r="AH163" i="39"/>
  <c r="AJ58" i="39"/>
  <c r="AK61" i="39"/>
  <c r="AJ61" i="39"/>
  <c r="AH61" i="39"/>
  <c r="AC61" i="39"/>
  <c r="AA61" i="39"/>
  <c r="AA58" i="39"/>
  <c r="AC58" i="39"/>
  <c r="AH58" i="39"/>
  <c r="AK58" i="39"/>
  <c r="AJ49" i="39"/>
  <c r="AH49" i="39"/>
  <c r="AK49" i="39"/>
  <c r="AC49" i="39"/>
  <c r="AA49" i="39"/>
  <c r="Z40" i="39"/>
  <c r="AA39" i="39"/>
  <c r="AJ40" i="39"/>
  <c r="AH40" i="39"/>
  <c r="AC54" i="39"/>
  <c r="AC30" i="42"/>
  <c r="AD100" i="38"/>
  <c r="AG29" i="39"/>
  <c r="Z23" i="42"/>
  <c r="AK23" i="42" s="1"/>
  <c r="AF29" i="39"/>
  <c r="AC173" i="39"/>
  <c r="AC26" i="42"/>
  <c r="AA26" i="42"/>
  <c r="AK26" i="42"/>
  <c r="Y34" i="39"/>
  <c r="Y16" i="39" s="1"/>
  <c r="AA67" i="39"/>
  <c r="AC72" i="39"/>
  <c r="AA43" i="39"/>
  <c r="AC22" i="39"/>
  <c r="AC33" i="39"/>
  <c r="AH60" i="39"/>
  <c r="AA63" i="39"/>
  <c r="AK173" i="39"/>
  <c r="Y14" i="39"/>
  <c r="AC69" i="39"/>
  <c r="AE34" i="39"/>
  <c r="AE16" i="39" s="1"/>
  <c r="AD23" i="39"/>
  <c r="AD24" i="39" s="1"/>
  <c r="AJ55" i="39"/>
  <c r="AJ14" i="39"/>
  <c r="AC28" i="39"/>
  <c r="AC67" i="39"/>
  <c r="AK64" i="39"/>
  <c r="AH173" i="39"/>
  <c r="AC20" i="39"/>
  <c r="AH55" i="39"/>
  <c r="Z73" i="39"/>
  <c r="AC73" i="39" s="1"/>
  <c r="AH30" i="42"/>
  <c r="AA34" i="42"/>
  <c r="AB27" i="42"/>
  <c r="AC27" i="42" s="1"/>
  <c r="AJ34" i="42"/>
  <c r="AK30" i="42"/>
  <c r="AC23" i="42"/>
  <c r="AK34" i="42"/>
  <c r="AH48" i="39"/>
  <c r="AA72" i="39"/>
  <c r="AD34" i="39"/>
  <c r="AD16" i="39" s="1"/>
  <c r="AC42" i="39"/>
  <c r="AF23" i="39"/>
  <c r="AF24" i="39" s="1"/>
  <c r="AG23" i="39"/>
  <c r="AG24" i="39" s="1"/>
  <c r="AK43" i="39"/>
  <c r="AH54" i="39"/>
  <c r="AI23" i="39"/>
  <c r="AJ23" i="39" s="1"/>
  <c r="AA21" i="39"/>
  <c r="AK48" i="39"/>
  <c r="AJ54" i="39"/>
  <c r="AC25" i="39"/>
  <c r="AC30" i="39"/>
  <c r="AC52" i="39"/>
  <c r="AK54" i="39"/>
  <c r="AA25" i="39"/>
  <c r="AJ48" i="39"/>
  <c r="AA57" i="39"/>
  <c r="Y28" i="39"/>
  <c r="Y29" i="39" s="1"/>
  <c r="AJ45" i="39"/>
  <c r="AJ60" i="39"/>
  <c r="AC97" i="38"/>
  <c r="Z86" i="38"/>
  <c r="AC99" i="38"/>
  <c r="AE100" i="38"/>
  <c r="AJ100" i="38" s="1"/>
  <c r="Y86" i="38"/>
  <c r="AF100" i="38"/>
  <c r="AG100" i="38"/>
  <c r="AA85" i="38"/>
  <c r="AK83" i="38"/>
  <c r="AC35" i="42"/>
  <c r="AA35" i="42"/>
  <c r="AE35" i="42"/>
  <c r="AH34" i="42"/>
  <c r="AC34" i="42"/>
  <c r="AJ30" i="42"/>
  <c r="AA30" i="42"/>
  <c r="Z31" i="42"/>
  <c r="AE31" i="42"/>
  <c r="AA27" i="42"/>
  <c r="AE27" i="42"/>
  <c r="AH26" i="42"/>
  <c r="AJ26" i="42"/>
  <c r="AJ23" i="42"/>
  <c r="AK22" i="42"/>
  <c r="AH23" i="42"/>
  <c r="AA22" i="42"/>
  <c r="AH22" i="42"/>
  <c r="AJ22" i="42"/>
  <c r="AJ173" i="39"/>
  <c r="AA173" i="39"/>
  <c r="AA46" i="39"/>
  <c r="AC57" i="39"/>
  <c r="AA162" i="39"/>
  <c r="AC45" i="39"/>
  <c r="AC162" i="39"/>
  <c r="AC26" i="39"/>
  <c r="AG34" i="39"/>
  <c r="AG16" i="39" s="1"/>
  <c r="AG17" i="39" s="1"/>
  <c r="AH20" i="39"/>
  <c r="AJ42" i="39"/>
  <c r="Z13" i="39"/>
  <c r="AA13" i="39" s="1"/>
  <c r="Z15" i="39"/>
  <c r="AC15" i="39" s="1"/>
  <c r="AJ20" i="39"/>
  <c r="AK42" i="39"/>
  <c r="AH43" i="39"/>
  <c r="AJ70" i="39"/>
  <c r="AA22" i="39"/>
  <c r="AH42" i="39"/>
  <c r="AA33" i="39"/>
  <c r="AC39" i="39"/>
  <c r="AB13" i="39"/>
  <c r="AK20" i="39"/>
  <c r="AC63" i="39"/>
  <c r="AJ69" i="39"/>
  <c r="AF34" i="39"/>
  <c r="AF16" i="39" s="1"/>
  <c r="AF17" i="39" s="1"/>
  <c r="AK69" i="39"/>
  <c r="Z70" i="39"/>
  <c r="AK70" i="39" s="1"/>
  <c r="AI34" i="39"/>
  <c r="AI16" i="39" s="1"/>
  <c r="AB21" i="39"/>
  <c r="AB24" i="39" s="1"/>
  <c r="AA20" i="39"/>
  <c r="Y23" i="39"/>
  <c r="Y24" i="39" s="1"/>
  <c r="AA69" i="39"/>
  <c r="AH162" i="39"/>
  <c r="AJ162" i="39"/>
  <c r="AK162" i="39"/>
  <c r="AJ31" i="39"/>
  <c r="AH31" i="39"/>
  <c r="AA78" i="39"/>
  <c r="AC78" i="39"/>
  <c r="Z34" i="39"/>
  <c r="AK21" i="39"/>
  <c r="AH21" i="39"/>
  <c r="AK26" i="39"/>
  <c r="AJ26" i="39"/>
  <c r="AE29" i="39"/>
  <c r="AH26" i="39"/>
  <c r="AK33" i="39"/>
  <c r="AJ33" i="39"/>
  <c r="AE15" i="39"/>
  <c r="AH33" i="39"/>
  <c r="AA52" i="39"/>
  <c r="AH57" i="39"/>
  <c r="AK57" i="39"/>
  <c r="AJ57" i="39"/>
  <c r="AC66" i="39"/>
  <c r="AH64" i="39"/>
  <c r="AK30" i="39"/>
  <c r="AE32" i="39"/>
  <c r="AC48" i="39"/>
  <c r="AA48" i="39"/>
  <c r="AC51" i="39"/>
  <c r="AA51" i="39"/>
  <c r="AK66" i="39"/>
  <c r="AJ66" i="39"/>
  <c r="AH66" i="39"/>
  <c r="AB46" i="39"/>
  <c r="AC46" i="39" s="1"/>
  <c r="AJ64" i="39"/>
  <c r="AK14" i="39"/>
  <c r="AK25" i="39"/>
  <c r="AH25" i="39"/>
  <c r="AJ25" i="39"/>
  <c r="AK39" i="39"/>
  <c r="AH39" i="39"/>
  <c r="AJ39" i="39"/>
  <c r="AC64" i="39"/>
  <c r="Y70" i="39"/>
  <c r="AB76" i="39"/>
  <c r="AB34" i="39"/>
  <c r="AB16" i="39" s="1"/>
  <c r="AK78" i="39"/>
  <c r="AK28" i="39"/>
  <c r="Z29" i="39"/>
  <c r="AK75" i="39"/>
  <c r="AH75" i="39"/>
  <c r="AJ75" i="39"/>
  <c r="Z79" i="39"/>
  <c r="AK72" i="39"/>
  <c r="AJ72" i="39"/>
  <c r="AE73" i="39"/>
  <c r="AH72" i="39"/>
  <c r="AC14" i="39"/>
  <c r="AC60" i="39"/>
  <c r="AA60" i="39"/>
  <c r="Z31" i="39"/>
  <c r="AA30" i="39"/>
  <c r="AD15" i="39"/>
  <c r="AH76" i="39"/>
  <c r="AJ76" i="39"/>
  <c r="AJ52" i="39"/>
  <c r="AK52" i="39"/>
  <c r="AH52" i="39"/>
  <c r="AK60" i="39"/>
  <c r="AK22" i="39"/>
  <c r="AE13" i="39"/>
  <c r="AJ22" i="39"/>
  <c r="AH22" i="39"/>
  <c r="AE24" i="39"/>
  <c r="AD46" i="39"/>
  <c r="AH46" i="39" s="1"/>
  <c r="AH45" i="39"/>
  <c r="AI43" i="39"/>
  <c r="AJ43" i="39" s="1"/>
  <c r="AK46" i="39"/>
  <c r="AJ46" i="39"/>
  <c r="AH63" i="39"/>
  <c r="AJ63" i="39"/>
  <c r="AK63" i="39"/>
  <c r="AE67" i="39"/>
  <c r="AI15" i="39"/>
  <c r="Z55" i="39"/>
  <c r="AK55" i="39" s="1"/>
  <c r="Y64" i="39"/>
  <c r="AA64" i="39" s="1"/>
  <c r="AI21" i="39"/>
  <c r="AJ21" i="39" s="1"/>
  <c r="AH30" i="39"/>
  <c r="AB43" i="39"/>
  <c r="AC43" i="39" s="1"/>
  <c r="AA54" i="39"/>
  <c r="AH78" i="39"/>
  <c r="AE79" i="39"/>
  <c r="AK51" i="39"/>
  <c r="AJ51" i="39"/>
  <c r="AA26" i="39"/>
  <c r="AJ30" i="39"/>
  <c r="AK45" i="39"/>
  <c r="AH70" i="39"/>
  <c r="AB29" i="39"/>
  <c r="AJ28" i="39"/>
  <c r="AH69" i="39"/>
  <c r="AC75" i="39"/>
  <c r="Z76" i="39"/>
  <c r="AH28" i="39"/>
  <c r="AH14" i="39"/>
  <c r="Z23" i="39"/>
  <c r="AK23" i="39" s="1"/>
  <c r="AA45" i="39"/>
  <c r="AH51" i="39"/>
  <c r="AA75" i="39"/>
  <c r="AJ78" i="39"/>
  <c r="AA42" i="39"/>
  <c r="AA66" i="39"/>
  <c r="AE96" i="39"/>
  <c r="AH96" i="39" s="1"/>
  <c r="AD86" i="39"/>
  <c r="AD102" i="39"/>
  <c r="AC95" i="39"/>
  <c r="AC121" i="39"/>
  <c r="AK148" i="39"/>
  <c r="Y108" i="39"/>
  <c r="Y109" i="39" s="1"/>
  <c r="AG86" i="39"/>
  <c r="AH133" i="39"/>
  <c r="Y87" i="39"/>
  <c r="AA87" i="39" s="1"/>
  <c r="AF102" i="39"/>
  <c r="AG102" i="39"/>
  <c r="Y102" i="39"/>
  <c r="AH148" i="39"/>
  <c r="AK133" i="39"/>
  <c r="AF86" i="39"/>
  <c r="Z86" i="39"/>
  <c r="AA86" i="39" s="1"/>
  <c r="AC146" i="39"/>
  <c r="AB86" i="39"/>
  <c r="AC106" i="39"/>
  <c r="Z88" i="39"/>
  <c r="AA88" i="39" s="1"/>
  <c r="AC87" i="39"/>
  <c r="AK87" i="39"/>
  <c r="AA100" i="39"/>
  <c r="AH87" i="39"/>
  <c r="AC112" i="39"/>
  <c r="AJ87" i="39"/>
  <c r="AI102" i="39"/>
  <c r="AK106" i="39"/>
  <c r="AC101" i="39"/>
  <c r="AD107" i="39"/>
  <c r="AC151" i="39"/>
  <c r="AA106" i="39"/>
  <c r="AH94" i="39"/>
  <c r="AA130" i="39"/>
  <c r="AF107" i="39"/>
  <c r="AF89" i="39" s="1"/>
  <c r="AE107" i="39"/>
  <c r="AE89" i="39" s="1"/>
  <c r="AE90" i="39" s="1"/>
  <c r="AH127" i="39"/>
  <c r="AH130" i="39"/>
  <c r="AC145" i="39"/>
  <c r="AJ127" i="39"/>
  <c r="Z107" i="39"/>
  <c r="AH106" i="39"/>
  <c r="AH101" i="39"/>
  <c r="AK127" i="39"/>
  <c r="AK145" i="39"/>
  <c r="AD97" i="39"/>
  <c r="AJ106" i="39"/>
  <c r="AA133" i="39"/>
  <c r="AC93" i="39"/>
  <c r="AK95" i="39"/>
  <c r="AC125" i="39"/>
  <c r="AC124" i="39"/>
  <c r="AF97" i="39"/>
  <c r="AK112" i="39"/>
  <c r="AK139" i="39"/>
  <c r="AH151" i="39"/>
  <c r="AC98" i="39"/>
  <c r="AJ145" i="39"/>
  <c r="AA99" i="39"/>
  <c r="AK124" i="39"/>
  <c r="AH93" i="39"/>
  <c r="AK115" i="39"/>
  <c r="AG97" i="39"/>
  <c r="AJ93" i="39"/>
  <c r="AH95" i="39"/>
  <c r="AK98" i="39"/>
  <c r="AJ101" i="39"/>
  <c r="AJ124" i="39"/>
  <c r="AA127" i="39"/>
  <c r="AA142" i="39"/>
  <c r="AB152" i="39"/>
  <c r="AC152" i="39" s="1"/>
  <c r="AH112" i="39"/>
  <c r="AE146" i="39"/>
  <c r="AH146" i="39" s="1"/>
  <c r="AD152" i="39"/>
  <c r="AH152" i="39" s="1"/>
  <c r="AK93" i="39"/>
  <c r="AB107" i="39"/>
  <c r="AB89" i="39" s="1"/>
  <c r="AA118" i="39"/>
  <c r="AE140" i="39"/>
  <c r="AH140" i="39" s="1"/>
  <c r="AH103" i="39"/>
  <c r="AE125" i="39"/>
  <c r="AH125" i="39" s="1"/>
  <c r="AJ133" i="39"/>
  <c r="AA151" i="39"/>
  <c r="AB100" i="38"/>
  <c r="Y100" i="38"/>
  <c r="AH99" i="38"/>
  <c r="AG86" i="38"/>
  <c r="AC85" i="38"/>
  <c r="AH83" i="38"/>
  <c r="AD86" i="38"/>
  <c r="AJ99" i="38"/>
  <c r="AI86" i="38"/>
  <c r="AE86" i="38"/>
  <c r="AK99" i="38"/>
  <c r="AF86" i="38"/>
  <c r="AA99" i="38"/>
  <c r="Z100" i="38"/>
  <c r="AH97" i="38"/>
  <c r="AJ97" i="38"/>
  <c r="AK97" i="38"/>
  <c r="AA97" i="38"/>
  <c r="AB86" i="38"/>
  <c r="AJ83" i="38"/>
  <c r="AA83" i="38"/>
  <c r="AH85" i="38"/>
  <c r="AJ85" i="38"/>
  <c r="AK85" i="38"/>
  <c r="AB97" i="39"/>
  <c r="AK152" i="39"/>
  <c r="AJ152" i="39"/>
  <c r="AJ94" i="39"/>
  <c r="AA137" i="39"/>
  <c r="AC137" i="39"/>
  <c r="AJ149" i="39"/>
  <c r="AC115" i="39"/>
  <c r="Z116" i="39"/>
  <c r="AA115" i="39"/>
  <c r="Z140" i="39"/>
  <c r="AC139" i="39"/>
  <c r="AA139" i="39"/>
  <c r="AA121" i="39"/>
  <c r="AA136" i="39"/>
  <c r="Z143" i="39"/>
  <c r="AJ148" i="39"/>
  <c r="AH116" i="39"/>
  <c r="AA125" i="39"/>
  <c r="AC136" i="39"/>
  <c r="AJ137" i="39"/>
  <c r="AH137" i="39"/>
  <c r="AA146" i="39"/>
  <c r="Y149" i="39"/>
  <c r="AJ112" i="39"/>
  <c r="AC118" i="39"/>
  <c r="Z128" i="39"/>
  <c r="AC142" i="39"/>
  <c r="Z96" i="39"/>
  <c r="AK121" i="39"/>
  <c r="AH121" i="39"/>
  <c r="AJ121" i="39"/>
  <c r="AJ116" i="39"/>
  <c r="AK136" i="39"/>
  <c r="AJ136" i="39"/>
  <c r="AH136" i="39"/>
  <c r="AK137" i="39"/>
  <c r="AA152" i="39"/>
  <c r="AA95" i="39"/>
  <c r="AJ103" i="39"/>
  <c r="AG107" i="39"/>
  <c r="AG89" i="39" s="1"/>
  <c r="AH115" i="39"/>
  <c r="AE119" i="39"/>
  <c r="AH118" i="39"/>
  <c r="AC127" i="39"/>
  <c r="AH139" i="39"/>
  <c r="AH142" i="39"/>
  <c r="AE143" i="39"/>
  <c r="AC148" i="39"/>
  <c r="AH98" i="39"/>
  <c r="AK103" i="39"/>
  <c r="AA93" i="39"/>
  <c r="Z94" i="39"/>
  <c r="AK94" i="39" s="1"/>
  <c r="AI107" i="39"/>
  <c r="AI89" i="39" s="1"/>
  <c r="AI90" i="39" s="1"/>
  <c r="AA112" i="39"/>
  <c r="AJ115" i="39"/>
  <c r="AH128" i="39"/>
  <c r="AJ139" i="39"/>
  <c r="AH149" i="39"/>
  <c r="AJ98" i="39"/>
  <c r="AI128" i="39"/>
  <c r="AJ128" i="39" s="1"/>
  <c r="AC130" i="39"/>
  <c r="AB102" i="39"/>
  <c r="AA103" i="39"/>
  <c r="AC103" i="39"/>
  <c r="Z104" i="39"/>
  <c r="AE104" i="39"/>
  <c r="AJ118" i="39"/>
  <c r="AH124" i="39"/>
  <c r="AC133" i="39"/>
  <c r="AJ142" i="39"/>
  <c r="AH145" i="39"/>
  <c r="AF152" i="39"/>
  <c r="AE102" i="39"/>
  <c r="AK99" i="39"/>
  <c r="AJ99" i="39"/>
  <c r="Z102" i="39"/>
  <c r="Z119" i="39"/>
  <c r="AJ95" i="39"/>
  <c r="AA101" i="39"/>
  <c r="Y96" i="39"/>
  <c r="Y97" i="39" s="1"/>
  <c r="AH99" i="39"/>
  <c r="AA148" i="39"/>
  <c r="Z149" i="39"/>
  <c r="AI96" i="39"/>
  <c r="AC99" i="39"/>
  <c r="AK101" i="39"/>
  <c r="AK118" i="39"/>
  <c r="AJ130" i="39"/>
  <c r="AK130" i="39"/>
  <c r="AK142" i="39"/>
  <c r="AJ151" i="39"/>
  <c r="AK151" i="39"/>
  <c r="AA98" i="39"/>
  <c r="AA124" i="39"/>
  <c r="AA145" i="39"/>
  <c r="AC40" i="39" l="1"/>
  <c r="AA40" i="39"/>
  <c r="AH100" i="38"/>
  <c r="AK86" i="38"/>
  <c r="AC86" i="38"/>
  <c r="AA86" i="38"/>
  <c r="Y35" i="39"/>
  <c r="Y36" i="39" s="1"/>
  <c r="AA23" i="42"/>
  <c r="Y17" i="39"/>
  <c r="AH23" i="39"/>
  <c r="AC70" i="39"/>
  <c r="AA70" i="39"/>
  <c r="AA14" i="39"/>
  <c r="AK163" i="39"/>
  <c r="AE35" i="39"/>
  <c r="AE11" i="39" s="1"/>
  <c r="AE12" i="39" s="1"/>
  <c r="AD17" i="39"/>
  <c r="AK34" i="39"/>
  <c r="AJ96" i="39"/>
  <c r="AE97" i="39"/>
  <c r="AH97" i="39" s="1"/>
  <c r="AA28" i="39"/>
  <c r="AD35" i="39"/>
  <c r="AD36" i="39" s="1"/>
  <c r="AA73" i="39"/>
  <c r="AA15" i="39"/>
  <c r="AC21" i="39"/>
  <c r="AC86" i="39"/>
  <c r="AB17" i="39"/>
  <c r="Z35" i="39"/>
  <c r="AF35" i="39"/>
  <c r="AF36" i="39" s="1"/>
  <c r="AI17" i="39"/>
  <c r="AI35" i="39"/>
  <c r="AI36" i="39" s="1"/>
  <c r="AH34" i="39"/>
  <c r="AJ34" i="39"/>
  <c r="AH86" i="38"/>
  <c r="AJ86" i="38"/>
  <c r="AK35" i="42"/>
  <c r="AJ35" i="42"/>
  <c r="AH35" i="42"/>
  <c r="AK31" i="42"/>
  <c r="AJ31" i="42"/>
  <c r="AH31" i="42"/>
  <c r="AC31" i="42"/>
  <c r="AA31" i="42"/>
  <c r="AK27" i="42"/>
  <c r="AJ27" i="42"/>
  <c r="AH27" i="42"/>
  <c r="AG35" i="39"/>
  <c r="AC13" i="39"/>
  <c r="AK40" i="39"/>
  <c r="Z24" i="39"/>
  <c r="AK24" i="39" s="1"/>
  <c r="Z32" i="39"/>
  <c r="AA31" i="39"/>
  <c r="AC31" i="39"/>
  <c r="AC29" i="39"/>
  <c r="AA29" i="39"/>
  <c r="AK31" i="39"/>
  <c r="AC79" i="39"/>
  <c r="AA79" i="39"/>
  <c r="AK67" i="39"/>
  <c r="AJ67" i="39"/>
  <c r="AH67" i="39"/>
  <c r="AH32" i="39"/>
  <c r="AJ32" i="39"/>
  <c r="AC76" i="39"/>
  <c r="AA76" i="39"/>
  <c r="AK29" i="39"/>
  <c r="AJ29" i="39"/>
  <c r="AH29" i="39"/>
  <c r="AA23" i="39"/>
  <c r="AC23" i="39"/>
  <c r="AK13" i="39"/>
  <c r="AJ13" i="39"/>
  <c r="AE17" i="39"/>
  <c r="AH13" i="39"/>
  <c r="AH79" i="39"/>
  <c r="AK79" i="39"/>
  <c r="AJ79" i="39"/>
  <c r="AH15" i="39"/>
  <c r="AJ15" i="39"/>
  <c r="AK15" i="39"/>
  <c r="AI24" i="39"/>
  <c r="AJ24" i="39" s="1"/>
  <c r="AH24" i="39"/>
  <c r="AJ73" i="39"/>
  <c r="AK73" i="39"/>
  <c r="AH73" i="39"/>
  <c r="AC34" i="39"/>
  <c r="AA34" i="39"/>
  <c r="Z16" i="39"/>
  <c r="AC55" i="39"/>
  <c r="AA55" i="39"/>
  <c r="AB35" i="39"/>
  <c r="AK76" i="39"/>
  <c r="AH16" i="39"/>
  <c r="AJ16" i="39"/>
  <c r="AF90" i="39"/>
  <c r="AG90" i="39"/>
  <c r="Y90" i="39"/>
  <c r="Y84" i="39"/>
  <c r="Y85" i="39" s="1"/>
  <c r="AD108" i="39"/>
  <c r="AD89" i="39"/>
  <c r="AD90" i="39" s="1"/>
  <c r="AH90" i="39" s="1"/>
  <c r="AJ89" i="39"/>
  <c r="Z108" i="39"/>
  <c r="AA108" i="39" s="1"/>
  <c r="Z89" i="39"/>
  <c r="Z90" i="39" s="1"/>
  <c r="AA107" i="39"/>
  <c r="AJ90" i="39"/>
  <c r="AB90" i="39"/>
  <c r="AH107" i="39"/>
  <c r="AB108" i="39"/>
  <c r="AB109" i="39" s="1"/>
  <c r="AE108" i="39"/>
  <c r="AE109" i="39" s="1"/>
  <c r="AF108" i="39"/>
  <c r="AF84" i="39" s="1"/>
  <c r="AF85" i="39" s="1"/>
  <c r="AG108" i="39"/>
  <c r="AG109" i="39" s="1"/>
  <c r="AC107" i="39"/>
  <c r="AK86" i="39"/>
  <c r="AJ86" i="39"/>
  <c r="AH86" i="39"/>
  <c r="AI108" i="39"/>
  <c r="AI84" i="39" s="1"/>
  <c r="AI85" i="39" s="1"/>
  <c r="AI91" i="39" s="1"/>
  <c r="AK125" i="39"/>
  <c r="AJ107" i="39"/>
  <c r="AJ125" i="39"/>
  <c r="AK107" i="39"/>
  <c r="AK88" i="39"/>
  <c r="AH88" i="39"/>
  <c r="AJ140" i="39"/>
  <c r="AJ88" i="39"/>
  <c r="AI97" i="39"/>
  <c r="AJ146" i="39"/>
  <c r="AC88" i="39"/>
  <c r="AK146" i="39"/>
  <c r="AC100" i="38"/>
  <c r="AA100" i="38"/>
  <c r="AK100" i="38"/>
  <c r="AC119" i="39"/>
  <c r="AA119" i="39"/>
  <c r="AC102" i="39"/>
  <c r="AA102" i="39"/>
  <c r="AH119" i="39"/>
  <c r="AK119" i="39"/>
  <c r="AJ119" i="39"/>
  <c r="AC140" i="39"/>
  <c r="AA140" i="39"/>
  <c r="AK104" i="39"/>
  <c r="AH104" i="39"/>
  <c r="AE105" i="39"/>
  <c r="AJ104" i="39"/>
  <c r="AC116" i="39"/>
  <c r="AA116" i="39"/>
  <c r="AK102" i="39"/>
  <c r="AJ102" i="39"/>
  <c r="AH102" i="39"/>
  <c r="AC104" i="39"/>
  <c r="Z105" i="39"/>
  <c r="AA104" i="39"/>
  <c r="AC143" i="39"/>
  <c r="AA143" i="39"/>
  <c r="AK116" i="39"/>
  <c r="AH143" i="39"/>
  <c r="AK143" i="39"/>
  <c r="AJ143" i="39"/>
  <c r="AC96" i="39"/>
  <c r="AA96" i="39"/>
  <c r="AK96" i="39"/>
  <c r="Z97" i="39"/>
  <c r="AC94" i="39"/>
  <c r="AA94" i="39"/>
  <c r="AK140" i="39"/>
  <c r="AC149" i="39"/>
  <c r="AK149" i="39"/>
  <c r="AA149" i="39"/>
  <c r="AC128" i="39"/>
  <c r="AK128" i="39"/>
  <c r="AA128" i="39"/>
  <c r="Y11" i="39" l="1"/>
  <c r="Y12" i="39" s="1"/>
  <c r="Y18" i="39" s="1"/>
  <c r="AJ97" i="39"/>
  <c r="AH35" i="39"/>
  <c r="AK35" i="39"/>
  <c r="AA35" i="39"/>
  <c r="Z36" i="39"/>
  <c r="AC90" i="39"/>
  <c r="AE36" i="39"/>
  <c r="AJ36" i="39" s="1"/>
  <c r="AD11" i="39"/>
  <c r="AD12" i="39" s="1"/>
  <c r="AD18" i="39" s="1"/>
  <c r="AI11" i="39"/>
  <c r="AI12" i="39" s="1"/>
  <c r="AI18" i="39" s="1"/>
  <c r="AJ35" i="39"/>
  <c r="AB84" i="39"/>
  <c r="AB85" i="39" s="1"/>
  <c r="AB91" i="39" s="1"/>
  <c r="AF91" i="39"/>
  <c r="Y91" i="39"/>
  <c r="AF11" i="39"/>
  <c r="AF12" i="39" s="1"/>
  <c r="AF18" i="39" s="1"/>
  <c r="Z11" i="39"/>
  <c r="AC108" i="39"/>
  <c r="AG36" i="39"/>
  <c r="AG11" i="39"/>
  <c r="AG12" i="39" s="1"/>
  <c r="AG18" i="39" s="1"/>
  <c r="AB36" i="39"/>
  <c r="AB11" i="39"/>
  <c r="AC16" i="39"/>
  <c r="AA16" i="39"/>
  <c r="Z17" i="39"/>
  <c r="AK17" i="39" s="1"/>
  <c r="AA32" i="39"/>
  <c r="AC32" i="39"/>
  <c r="AA24" i="39"/>
  <c r="AC24" i="39"/>
  <c r="AE18" i="39"/>
  <c r="AC35" i="39"/>
  <c r="AK16" i="39"/>
  <c r="AJ17" i="39"/>
  <c r="AH17" i="39"/>
  <c r="AK32" i="39"/>
  <c r="AA36" i="39"/>
  <c r="AI109" i="39"/>
  <c r="AJ109" i="39" s="1"/>
  <c r="AA89" i="39"/>
  <c r="AC89" i="39"/>
  <c r="AA90" i="39"/>
  <c r="AK89" i="39"/>
  <c r="AK90" i="39"/>
  <c r="Z84" i="39"/>
  <c r="AD84" i="39"/>
  <c r="AD85" i="39" s="1"/>
  <c r="AD91" i="39" s="1"/>
  <c r="AD109" i="39"/>
  <c r="AH109" i="39" s="1"/>
  <c r="AK108" i="39"/>
  <c r="Z109" i="39"/>
  <c r="AC109" i="39" s="1"/>
  <c r="AH89" i="39"/>
  <c r="AF109" i="39"/>
  <c r="AE84" i="39"/>
  <c r="AE85" i="39" s="1"/>
  <c r="AH108" i="39"/>
  <c r="AG84" i="39"/>
  <c r="AG85" i="39" s="1"/>
  <c r="AG91" i="39" s="1"/>
  <c r="AJ108" i="39"/>
  <c r="AK105" i="39"/>
  <c r="AJ105" i="39"/>
  <c r="AH105" i="39"/>
  <c r="AA105" i="39"/>
  <c r="AC105" i="39"/>
  <c r="AC97" i="39"/>
  <c r="AA97" i="39"/>
  <c r="AK97" i="39"/>
  <c r="AC36" i="39" l="1"/>
  <c r="AH36" i="39"/>
  <c r="AC84" i="39"/>
  <c r="AJ11" i="39"/>
  <c r="AH11" i="39"/>
  <c r="AH12" i="39"/>
  <c r="AK36" i="39"/>
  <c r="AJ12" i="39"/>
  <c r="Z12" i="39"/>
  <c r="Z18" i="39" s="1"/>
  <c r="AA11" i="39"/>
  <c r="AK11" i="39"/>
  <c r="AJ84" i="39"/>
  <c r="AH84" i="39"/>
  <c r="AC17" i="39"/>
  <c r="AA17" i="39"/>
  <c r="AB12" i="39"/>
  <c r="AC11" i="39"/>
  <c r="AJ18" i="39"/>
  <c r="AH18" i="39"/>
  <c r="AA84" i="39"/>
  <c r="Z85" i="39"/>
  <c r="AC85" i="39" s="1"/>
  <c r="AK84" i="39"/>
  <c r="AK109" i="39"/>
  <c r="AA109" i="39"/>
  <c r="AJ85" i="39"/>
  <c r="AE91" i="39"/>
  <c r="AH85" i="39"/>
  <c r="AK18" i="39" l="1"/>
  <c r="AA18" i="39"/>
  <c r="AA12" i="39"/>
  <c r="AK12" i="39"/>
  <c r="AA85" i="39"/>
  <c r="Z91" i="39"/>
  <c r="AK91" i="39" s="1"/>
  <c r="AK85" i="39"/>
  <c r="AB18" i="39"/>
  <c r="AC18" i="39" s="1"/>
  <c r="AC12" i="39"/>
  <c r="AH91" i="39"/>
  <c r="AJ91" i="39"/>
  <c r="AC91" i="39" l="1"/>
  <c r="AA91" i="39"/>
  <c r="AI71" i="38"/>
  <c r="AG71" i="38"/>
  <c r="AF71" i="38"/>
  <c r="AE71" i="38"/>
  <c r="AD71" i="38"/>
  <c r="AB71" i="38"/>
  <c r="Z71" i="38"/>
  <c r="AC71" i="38" s="1"/>
  <c r="Y71" i="38"/>
  <c r="AK70" i="38"/>
  <c r="AJ70" i="38"/>
  <c r="AH70" i="38"/>
  <c r="AC70" i="38"/>
  <c r="AA70" i="38"/>
  <c r="AI69" i="38"/>
  <c r="AG69" i="38"/>
  <c r="AG72" i="38" s="1"/>
  <c r="AF69" i="38"/>
  <c r="AE69" i="38"/>
  <c r="AD69" i="38"/>
  <c r="AB69" i="38"/>
  <c r="AB72" i="38" s="1"/>
  <c r="Z69" i="38"/>
  <c r="Y69" i="38"/>
  <c r="AK68" i="38"/>
  <c r="AJ68" i="38"/>
  <c r="AH68" i="38"/>
  <c r="AA68" i="38"/>
  <c r="AK67" i="38"/>
  <c r="AJ67" i="38"/>
  <c r="AH67" i="38"/>
  <c r="AC67" i="38"/>
  <c r="AA67" i="38"/>
  <c r="AI64" i="38"/>
  <c r="AG64" i="38"/>
  <c r="AF64" i="38"/>
  <c r="AE64" i="38"/>
  <c r="AD64" i="38"/>
  <c r="AB64" i="38"/>
  <c r="Z64" i="38"/>
  <c r="Y64" i="38"/>
  <c r="AK63" i="38"/>
  <c r="AJ63" i="38"/>
  <c r="AH63" i="38"/>
  <c r="AC63" i="38"/>
  <c r="AA63" i="38"/>
  <c r="AI62" i="38"/>
  <c r="AI65" i="38" s="1"/>
  <c r="AG62" i="38"/>
  <c r="AG65" i="38" s="1"/>
  <c r="AF62" i="38"/>
  <c r="AE62" i="38"/>
  <c r="AD62" i="38"/>
  <c r="AB62" i="38"/>
  <c r="Z62" i="38"/>
  <c r="Y62" i="38"/>
  <c r="AK61" i="38"/>
  <c r="AJ61" i="38"/>
  <c r="AH61" i="38"/>
  <c r="AA61" i="38"/>
  <c r="AK60" i="38"/>
  <c r="AJ60" i="38"/>
  <c r="AH60" i="38"/>
  <c r="AC60" i="38"/>
  <c r="AA60" i="38"/>
  <c r="AI57" i="38"/>
  <c r="AG57" i="38"/>
  <c r="AF57" i="38"/>
  <c r="AE57" i="38"/>
  <c r="AD57" i="38"/>
  <c r="AB57" i="38"/>
  <c r="Z57" i="38"/>
  <c r="Y57" i="38"/>
  <c r="AK56" i="38"/>
  <c r="AJ56" i="38"/>
  <c r="AH56" i="38"/>
  <c r="AC56" i="38"/>
  <c r="AA56" i="38"/>
  <c r="AK55" i="38"/>
  <c r="AJ55" i="38"/>
  <c r="AH55" i="38"/>
  <c r="AC55" i="38"/>
  <c r="AA55" i="38"/>
  <c r="AI54" i="38"/>
  <c r="AG54" i="38"/>
  <c r="AF54" i="38"/>
  <c r="AE54" i="38"/>
  <c r="AD54" i="38"/>
  <c r="AB54" i="38"/>
  <c r="Z54" i="38"/>
  <c r="Y54" i="38"/>
  <c r="AK53" i="38"/>
  <c r="AJ53" i="38"/>
  <c r="AH53" i="38"/>
  <c r="AC53" i="38"/>
  <c r="AA53" i="38"/>
  <c r="AK52" i="38"/>
  <c r="AJ52" i="38"/>
  <c r="AH52" i="38"/>
  <c r="AC52" i="38"/>
  <c r="AA52" i="38"/>
  <c r="AI49" i="38"/>
  <c r="AG49" i="38"/>
  <c r="AF49" i="38"/>
  <c r="AE49" i="38"/>
  <c r="AD49" i="38"/>
  <c r="AB49" i="38"/>
  <c r="Z49" i="38"/>
  <c r="Y49" i="38"/>
  <c r="AK48" i="38"/>
  <c r="AJ48" i="38"/>
  <c r="AH48" i="38"/>
  <c r="AC48" i="38"/>
  <c r="AA48" i="38"/>
  <c r="AK47" i="38"/>
  <c r="AJ47" i="38"/>
  <c r="AH47" i="38"/>
  <c r="AC47" i="38"/>
  <c r="AA47" i="38"/>
  <c r="AI46" i="38"/>
  <c r="AG46" i="38"/>
  <c r="AF46" i="38"/>
  <c r="AE46" i="38"/>
  <c r="AD46" i="38"/>
  <c r="AB46" i="38"/>
  <c r="Z46" i="38"/>
  <c r="Y46" i="38"/>
  <c r="AK45" i="38"/>
  <c r="AJ45" i="38"/>
  <c r="AH45" i="38"/>
  <c r="AC45" i="38"/>
  <c r="AA45" i="38"/>
  <c r="AK44" i="38"/>
  <c r="AJ44" i="38"/>
  <c r="AH44" i="38"/>
  <c r="AC44" i="38"/>
  <c r="AA44" i="38"/>
  <c r="AI11" i="42"/>
  <c r="AI12" i="42" s="1"/>
  <c r="AG11" i="42"/>
  <c r="AG12" i="42" s="1"/>
  <c r="AF11" i="42"/>
  <c r="AF12" i="42" s="1"/>
  <c r="AE11" i="42"/>
  <c r="AE12" i="42" s="1"/>
  <c r="AD11" i="42"/>
  <c r="AD12" i="42" s="1"/>
  <c r="AB11" i="42"/>
  <c r="AB12" i="42" s="1"/>
  <c r="Z11" i="42"/>
  <c r="Z12" i="42" s="1"/>
  <c r="Y11" i="42"/>
  <c r="Y12" i="42" s="1"/>
  <c r="AI38" i="38"/>
  <c r="AG38" i="38"/>
  <c r="AF38" i="38"/>
  <c r="AE38" i="38"/>
  <c r="AD38" i="38"/>
  <c r="AB38" i="38"/>
  <c r="Z38" i="38"/>
  <c r="Y38" i="38"/>
  <c r="AK37" i="38"/>
  <c r="AJ37" i="38"/>
  <c r="AH37" i="38"/>
  <c r="AC37" i="38"/>
  <c r="AA37" i="38"/>
  <c r="AI36" i="38"/>
  <c r="AG36" i="38"/>
  <c r="AF36" i="38"/>
  <c r="AE36" i="38"/>
  <c r="AD36" i="38"/>
  <c r="AB36" i="38"/>
  <c r="Z36" i="38"/>
  <c r="Y36" i="38"/>
  <c r="AK35" i="38"/>
  <c r="AJ35" i="38"/>
  <c r="AH35" i="38"/>
  <c r="AA35" i="38"/>
  <c r="AK34" i="38"/>
  <c r="AJ34" i="38"/>
  <c r="AH34" i="38"/>
  <c r="AC34" i="38"/>
  <c r="AA34" i="38"/>
  <c r="AI31" i="38"/>
  <c r="AG31" i="38"/>
  <c r="AF31" i="38"/>
  <c r="AE31" i="38"/>
  <c r="AD31" i="38"/>
  <c r="AB31" i="38"/>
  <c r="Z31" i="38"/>
  <c r="Y31" i="38"/>
  <c r="AK30" i="38"/>
  <c r="AJ30" i="38"/>
  <c r="AH30" i="38"/>
  <c r="AC30" i="38"/>
  <c r="AA30" i="38"/>
  <c r="AI29" i="38"/>
  <c r="AG29" i="38"/>
  <c r="AF29" i="38"/>
  <c r="AE29" i="38"/>
  <c r="AD29" i="38"/>
  <c r="AB29" i="38"/>
  <c r="Z29" i="38"/>
  <c r="Z32" i="38" s="1"/>
  <c r="Y29" i="38"/>
  <c r="AK28" i="38"/>
  <c r="AJ28" i="38"/>
  <c r="AH28" i="38"/>
  <c r="AA28" i="38"/>
  <c r="AK27" i="38"/>
  <c r="AJ27" i="38"/>
  <c r="AH27" i="38"/>
  <c r="AC27" i="38"/>
  <c r="AA27" i="38"/>
  <c r="AI24" i="38"/>
  <c r="AG24" i="38"/>
  <c r="AF24" i="38"/>
  <c r="AE24" i="38"/>
  <c r="AD24" i="38"/>
  <c r="AB24" i="38"/>
  <c r="Z24" i="38"/>
  <c r="Y24" i="38"/>
  <c r="AK23" i="38"/>
  <c r="AJ23" i="38"/>
  <c r="AH23" i="38"/>
  <c r="AC23" i="38"/>
  <c r="AA23" i="38"/>
  <c r="AK22" i="38"/>
  <c r="AJ22" i="38"/>
  <c r="AH22" i="38"/>
  <c r="AC22" i="38"/>
  <c r="AA22" i="38"/>
  <c r="AI21" i="38"/>
  <c r="AG21" i="38"/>
  <c r="AF21" i="38"/>
  <c r="AE21" i="38"/>
  <c r="AD21" i="38"/>
  <c r="AB21" i="38"/>
  <c r="Z21" i="38"/>
  <c r="Y21" i="38"/>
  <c r="AK20" i="38"/>
  <c r="AJ20" i="38"/>
  <c r="AH20" i="38"/>
  <c r="AC20" i="38"/>
  <c r="AA20" i="38"/>
  <c r="AK19" i="38"/>
  <c r="AJ19" i="38"/>
  <c r="AH19" i="38"/>
  <c r="AC19" i="38"/>
  <c r="AA19" i="38"/>
  <c r="AI16" i="38"/>
  <c r="AG16" i="38"/>
  <c r="AF16" i="38"/>
  <c r="AE16" i="38"/>
  <c r="AD16" i="38"/>
  <c r="AB16" i="38"/>
  <c r="Z16" i="38"/>
  <c r="Y16" i="38"/>
  <c r="AK15" i="38"/>
  <c r="AJ15" i="38"/>
  <c r="AH15" i="38"/>
  <c r="AC15" i="38"/>
  <c r="AA15" i="38"/>
  <c r="AK14" i="38"/>
  <c r="AJ14" i="38"/>
  <c r="AH14" i="38"/>
  <c r="AC14" i="38"/>
  <c r="AA14" i="38"/>
  <c r="AI13" i="38"/>
  <c r="AG13" i="38"/>
  <c r="AF13" i="38"/>
  <c r="AE13" i="38"/>
  <c r="AD13" i="38"/>
  <c r="AB13" i="38"/>
  <c r="Z13" i="38"/>
  <c r="Y13" i="38"/>
  <c r="AK12" i="38"/>
  <c r="AJ12" i="38"/>
  <c r="AH12" i="38"/>
  <c r="AC12" i="38"/>
  <c r="AA12" i="38"/>
  <c r="AK11" i="38"/>
  <c r="AJ11" i="38"/>
  <c r="AH11" i="38"/>
  <c r="AC11" i="38"/>
  <c r="AA11" i="38"/>
  <c r="BF6" i="28"/>
  <c r="AF58" i="38" l="1"/>
  <c r="AG58" i="38"/>
  <c r="AD72" i="38"/>
  <c r="AI72" i="38"/>
  <c r="AE58" i="38"/>
  <c r="AF65" i="38"/>
  <c r="AC57" i="38"/>
  <c r="AH71" i="38"/>
  <c r="AA54" i="38"/>
  <c r="AC62" i="38"/>
  <c r="AA49" i="38"/>
  <c r="AF72" i="38"/>
  <c r="AC13" i="38"/>
  <c r="AB32" i="38"/>
  <c r="AC32" i="38" s="1"/>
  <c r="AC31" i="38"/>
  <c r="AG39" i="38"/>
  <c r="AK49" i="38"/>
  <c r="AH57" i="38"/>
  <c r="AE72" i="38"/>
  <c r="AH54" i="38"/>
  <c r="Y50" i="38"/>
  <c r="AC46" i="38"/>
  <c r="AC49" i="38"/>
  <c r="AA62" i="38"/>
  <c r="AJ57" i="38"/>
  <c r="AC64" i="38"/>
  <c r="AB65" i="38"/>
  <c r="AI58" i="38"/>
  <c r="AH62" i="38"/>
  <c r="AA64" i="38"/>
  <c r="AA57" i="38"/>
  <c r="AA46" i="38"/>
  <c r="AH49" i="38"/>
  <c r="Y58" i="38"/>
  <c r="AD65" i="38"/>
  <c r="AE50" i="38"/>
  <c r="AK57" i="38"/>
  <c r="AJ71" i="38"/>
  <c r="AB50" i="38"/>
  <c r="AD50" i="38"/>
  <c r="AK62" i="38"/>
  <c r="AF50" i="38"/>
  <c r="AB58" i="38"/>
  <c r="AK71" i="38"/>
  <c r="Z58" i="38"/>
  <c r="AG50" i="38"/>
  <c r="AD58" i="38"/>
  <c r="Y65" i="38"/>
  <c r="AK64" i="38"/>
  <c r="AI50" i="38"/>
  <c r="Z65" i="38"/>
  <c r="AC69" i="38"/>
  <c r="Y72" i="38"/>
  <c r="AJ49" i="38"/>
  <c r="AJ54" i="38"/>
  <c r="AE65" i="38"/>
  <c r="AA71" i="38"/>
  <c r="Z72" i="38"/>
  <c r="AJ46" i="38"/>
  <c r="AK54" i="38"/>
  <c r="AH69" i="38"/>
  <c r="AH46" i="38"/>
  <c r="AK46" i="38"/>
  <c r="AH64" i="38"/>
  <c r="AJ62" i="38"/>
  <c r="Z50" i="38"/>
  <c r="AJ69" i="38"/>
  <c r="AJ64" i="38"/>
  <c r="AK69" i="38"/>
  <c r="AC54" i="38"/>
  <c r="AA69" i="38"/>
  <c r="Y39" i="38"/>
  <c r="AH11" i="42"/>
  <c r="AC11" i="42"/>
  <c r="AJ12" i="42"/>
  <c r="AK11" i="42"/>
  <c r="AJ11" i="42"/>
  <c r="AA11" i="42"/>
  <c r="AK24" i="38"/>
  <c r="AF25" i="38"/>
  <c r="AG17" i="38"/>
  <c r="AD32" i="38"/>
  <c r="Y25" i="38"/>
  <c r="AC16" i="38"/>
  <c r="AC38" i="38"/>
  <c r="AF32" i="38"/>
  <c r="AH16" i="38"/>
  <c r="AI32" i="38"/>
  <c r="AJ16" i="38"/>
  <c r="AK36" i="38"/>
  <c r="AK16" i="38"/>
  <c r="AC21" i="38"/>
  <c r="AH24" i="38"/>
  <c r="Y32" i="38"/>
  <c r="AA32" i="38" s="1"/>
  <c r="AF39" i="38"/>
  <c r="AC36" i="38"/>
  <c r="AD17" i="38"/>
  <c r="AB25" i="38"/>
  <c r="AJ24" i="38"/>
  <c r="AG32" i="38"/>
  <c r="AE17" i="38"/>
  <c r="AD25" i="38"/>
  <c r="AF17" i="38"/>
  <c r="AE25" i="38"/>
  <c r="AG25" i="38"/>
  <c r="AJ21" i="38"/>
  <c r="AH29" i="38"/>
  <c r="AD39" i="38"/>
  <c r="AK21" i="38"/>
  <c r="AC24" i="38"/>
  <c r="AH36" i="38"/>
  <c r="AH38" i="38"/>
  <c r="AJ13" i="38"/>
  <c r="AA31" i="38"/>
  <c r="Y17" i="38"/>
  <c r="AJ36" i="38"/>
  <c r="AH13" i="38"/>
  <c r="AB17" i="38"/>
  <c r="AK29" i="38"/>
  <c r="AH31" i="38"/>
  <c r="AK13" i="38"/>
  <c r="AB39" i="38"/>
  <c r="Z25" i="38"/>
  <c r="AJ38" i="38"/>
  <c r="AI39" i="38"/>
  <c r="AH21" i="38"/>
  <c r="AJ29" i="38"/>
  <c r="AK38" i="38"/>
  <c r="AI25" i="38"/>
  <c r="AI17" i="38"/>
  <c r="AE32" i="38"/>
  <c r="AA38" i="38"/>
  <c r="AA29" i="38"/>
  <c r="AA24" i="38"/>
  <c r="AA16" i="38"/>
  <c r="Z17" i="38"/>
  <c r="AA21" i="38"/>
  <c r="AC29" i="38"/>
  <c r="AA13" i="38"/>
  <c r="AJ31" i="38"/>
  <c r="AK31" i="38"/>
  <c r="AE39" i="38"/>
  <c r="AA36" i="38"/>
  <c r="Z39" i="38"/>
  <c r="AJ72" i="38" l="1"/>
  <c r="AH58" i="38"/>
  <c r="AH72" i="38"/>
  <c r="AJ58" i="38"/>
  <c r="AC58" i="38"/>
  <c r="AH50" i="38"/>
  <c r="AA65" i="38"/>
  <c r="AK58" i="38"/>
  <c r="AJ50" i="38"/>
  <c r="AK50" i="38"/>
  <c r="AA58" i="38"/>
  <c r="AC65" i="38"/>
  <c r="AC72" i="38"/>
  <c r="AA72" i="38"/>
  <c r="AK72" i="38"/>
  <c r="AK65" i="38"/>
  <c r="AJ65" i="38"/>
  <c r="AH65" i="38"/>
  <c r="AC50" i="38"/>
  <c r="AA50" i="38"/>
  <c r="AK12" i="42"/>
  <c r="AH12" i="42"/>
  <c r="AC12" i="42"/>
  <c r="AA12" i="42"/>
  <c r="AH25" i="38"/>
  <c r="AH17" i="38"/>
  <c r="AJ25" i="38"/>
  <c r="AK25" i="38"/>
  <c r="AJ17" i="38"/>
  <c r="AC17" i="38"/>
  <c r="AA17" i="38"/>
  <c r="AH39" i="38"/>
  <c r="AK39" i="38"/>
  <c r="AJ39" i="38"/>
  <c r="AK17" i="38"/>
  <c r="AC25" i="38"/>
  <c r="AA25" i="38"/>
  <c r="AC39" i="38"/>
  <c r="AA39" i="38"/>
  <c r="AH32" i="38"/>
  <c r="AK32" i="38"/>
  <c r="AJ32" i="3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A7" authorId="0" shapeId="0" xr:uid="{07A14505-2917-430A-B159-771EF6758DCA}">
      <text>
        <r>
          <rPr>
            <sz val="11"/>
            <rFont val="ＭＳ Ｐゴシック"/>
            <family val="3"/>
            <charset val="128"/>
          </rPr>
          <t>CSVファイル名</t>
        </r>
      </text>
    </comment>
    <comment ref="U29" authorId="1" shapeId="0" xr:uid="{1B9ED0AB-884E-451C-B25B-FBA2288EFAD5}">
      <text>
        <r>
          <rPr>
            <b/>
            <sz val="9"/>
            <color indexed="81"/>
            <rFont val="ＭＳ Ｐゴシック"/>
            <family val="3"/>
            <charset val="128"/>
          </rPr>
          <t>データ型：　説明
－－－－－－：－－－－－－－－－－－－－</t>
        </r>
        <r>
          <rPr>
            <sz val="9"/>
            <color indexed="81"/>
            <rFont val="ＭＳ Ｐゴシック"/>
            <family val="3"/>
            <charset val="128"/>
          </rPr>
          <t xml:space="preserve">
</t>
        </r>
        <r>
          <rPr>
            <sz val="9"/>
            <color indexed="81"/>
            <rFont val="メイリオ"/>
            <family val="3"/>
            <charset val="128"/>
          </rPr>
          <t xml:space="preserve">英数字　　　：　文字
数字　　　　：　数字
漢字　　　　：　漢字
日時　　　　：　”yyyy-MM-DD　hh:mm:ss"
</t>
        </r>
      </text>
    </comment>
    <comment ref="AC29" authorId="0" shapeId="0" xr:uid="{F4E251E0-1E18-47B9-A3FC-3AD54B1BC799}">
      <text>
        <r>
          <rPr>
            <b/>
            <sz val="9"/>
            <color indexed="81"/>
            <rFont val="ＭＳ 明朝"/>
            <family val="1"/>
            <charset val="128"/>
          </rPr>
          <t>符合なし：　空白
符合あり
　前符号あり：　前
　後符号あり：　後
　　　　</t>
        </r>
        <r>
          <rPr>
            <sz val="9"/>
            <color indexed="81"/>
            <rFont val="ＭＳ 明朝"/>
            <family val="1"/>
            <charset val="128"/>
          </rPr>
          <t xml:space="preserve">
</t>
        </r>
      </text>
    </comment>
    <comment ref="AF29" authorId="0" shapeId="0" xr:uid="{6E2264F7-F63E-4B17-8599-09496D832395}">
      <text>
        <r>
          <rPr>
            <b/>
            <sz val="9"/>
            <color indexed="81"/>
            <rFont val="MS P ゴシック"/>
            <family val="3"/>
            <charset val="128"/>
          </rPr>
          <t>固定長の時　・・〇</t>
        </r>
        <r>
          <rPr>
            <sz val="9"/>
            <color indexed="81"/>
            <rFont val="MS P ゴシック"/>
            <family val="3"/>
            <charset val="128"/>
          </rPr>
          <t xml:space="preserve">
</t>
        </r>
      </text>
    </comment>
    <comment ref="AI29" authorId="0" shapeId="0" xr:uid="{BD5E42F6-79EC-43C2-A528-0E0DA9941D64}">
      <text>
        <r>
          <rPr>
            <b/>
            <sz val="9"/>
            <color indexed="81"/>
            <rFont val="MS P ゴシック"/>
            <family val="3"/>
            <charset val="128"/>
          </rPr>
          <t>文字は左よせ、数字は右寄せ以外の場合に指定
右寄せ　・・　右
左寄せ　・・　左</t>
        </r>
        <r>
          <rPr>
            <sz val="9"/>
            <color indexed="81"/>
            <rFont val="MS P ゴシック"/>
            <family val="3"/>
            <charset val="128"/>
          </rPr>
          <t xml:space="preserve">
</t>
        </r>
      </text>
    </comment>
    <comment ref="AL29" authorId="0" shapeId="0" xr:uid="{8F8E851C-7AE4-4C3F-AB49-71351EEC2431}">
      <text>
        <r>
          <rPr>
            <b/>
            <sz val="9"/>
            <color indexed="81"/>
            <rFont val="MS P ゴシック"/>
            <family val="3"/>
            <charset val="128"/>
          </rPr>
          <t>取込時指定
UpLoad対象項目の時は　〇</t>
        </r>
        <r>
          <rPr>
            <sz val="9"/>
            <color indexed="81"/>
            <rFont val="MS P ゴシック"/>
            <family val="3"/>
            <charset val="128"/>
          </rPr>
          <t xml:space="preserve">
</t>
        </r>
      </text>
    </comment>
    <comment ref="AO29" authorId="0" shapeId="0" xr:uid="{3566CFED-CC43-4468-B32D-A8FAB25E1B3E}">
      <text>
        <r>
          <rPr>
            <b/>
            <sz val="9"/>
            <color indexed="81"/>
            <rFont val="MS P ゴシック"/>
            <family val="3"/>
            <charset val="128"/>
          </rPr>
          <t>取込時指定
必須の時・・　〇</t>
        </r>
        <r>
          <rPr>
            <sz val="9"/>
            <color indexed="81"/>
            <rFont val="MS P ゴシック"/>
            <family val="3"/>
            <charset val="128"/>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HISU0023</author>
  </authors>
  <commentList>
    <comment ref="A7" authorId="0" shapeId="0" xr:uid="{F18B582B-F0AB-47E5-BABE-487BE2D00AD5}">
      <text>
        <r>
          <rPr>
            <sz val="11"/>
            <rFont val="ＭＳ Ｐゴシック"/>
            <family val="3"/>
            <charset val="128"/>
          </rPr>
          <t>CSVファイル名</t>
        </r>
      </text>
    </comment>
    <comment ref="D9" authorId="1" shapeId="0" xr:uid="{A6F9C0C0-6C85-4898-A650-41CB24A5C6A9}">
      <text>
        <r>
          <rPr>
            <b/>
            <sz val="9"/>
            <color indexed="81"/>
            <rFont val="MS P ゴシック"/>
            <family val="3"/>
            <charset val="128"/>
          </rPr>
          <t xml:space="preserve">項目名称とラベル名が相違する場合は、項目名称の後ろに（ラベル名）を記入
</t>
        </r>
      </text>
    </comment>
    <comment ref="U9" authorId="2" shapeId="0" xr:uid="{47F6EF3E-C39C-40D2-BF68-841943F210F3}">
      <text>
        <r>
          <rPr>
            <b/>
            <sz val="9"/>
            <color indexed="81"/>
            <rFont val="ＭＳ Ｐゴシック"/>
            <family val="3"/>
            <charset val="128"/>
          </rPr>
          <t>データ型：　説明
－－－－－－：－－－－－－－－－－－－－</t>
        </r>
        <r>
          <rPr>
            <sz val="9"/>
            <color indexed="81"/>
            <rFont val="ＭＳ Ｐゴシック"/>
            <family val="3"/>
            <charset val="128"/>
          </rPr>
          <t xml:space="preserve">
</t>
        </r>
        <r>
          <rPr>
            <sz val="9"/>
            <color indexed="81"/>
            <rFont val="メイリオ"/>
            <family val="3"/>
            <charset val="128"/>
          </rPr>
          <t xml:space="preserve">英数字　　　：　文字
数字　　　　：　数字
漢字　　　　：　漢字
日時　　　　：　”yyyy-MM-DD　hh:mm:ss"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06B9EA7F-6C89-4AEC-990B-51DD72188CB3}">
      <text>
        <r>
          <rPr>
            <sz val="9"/>
            <color indexed="81"/>
            <rFont val="MS P ゴシック"/>
            <family val="3"/>
            <charset val="128"/>
          </rPr>
          <t xml:space="preserve">必須チェック要の場合　”〇”
</t>
        </r>
      </text>
    </comment>
    <comment ref="V8" authorId="0" shapeId="0" xr:uid="{3CD918D1-5322-4528-8B3B-91F5D3138B27}">
      <text>
        <r>
          <rPr>
            <sz val="9"/>
            <color indexed="81"/>
            <rFont val="MS P ゴシック"/>
            <family val="3"/>
            <charset val="128"/>
          </rPr>
          <t xml:space="preserve">numericチェック要の場合、”〇”
</t>
        </r>
      </text>
    </comment>
    <comment ref="Z8" authorId="0" shapeId="0" xr:uid="{AB8CAFA1-49F0-4D0E-99B4-0E79DDA980FE}">
      <text>
        <r>
          <rPr>
            <sz val="9"/>
            <color indexed="81"/>
            <rFont val="MS P ゴシック"/>
            <family val="3"/>
            <charset val="128"/>
          </rPr>
          <t xml:space="preserve">文字数チェック要の場合　”〇”
</t>
        </r>
      </text>
    </comment>
    <comment ref="AD8" authorId="0" shapeId="0" xr:uid="{BF0C210E-55BE-4BEB-816D-57C86CF15D41}">
      <text>
        <r>
          <rPr>
            <sz val="9"/>
            <color indexed="81"/>
            <rFont val="MS P ゴシック"/>
            <family val="3"/>
            <charset val="128"/>
          </rPr>
          <t>マスタ存在チェック要の場合　”〇”
チェック対象のマスタはチェック内容説明欄に記載する。</t>
        </r>
      </text>
    </comment>
    <comment ref="AH8" authorId="0" shapeId="0" xr:uid="{CF949A41-DA80-4E39-BCF2-A5B7FEE86BA4}">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メッセージ文言は、”／”全角スラッシュに続けて記入すること</t>
        </r>
      </text>
    </comment>
    <comment ref="BD8" authorId="0" shapeId="0" xr:uid="{8BA6ACDF-8AF6-4F6C-9951-444D6EC5BA56}">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R8" authorId="0" shapeId="0" xr:uid="{E94E2345-ABE5-4788-A1C1-062C91DE669F}">
      <text>
        <r>
          <rPr>
            <b/>
            <sz val="9"/>
            <color indexed="81"/>
            <rFont val="MS P ゴシック"/>
            <family val="3"/>
            <charset val="128"/>
          </rPr>
          <t>メッセージ文言は、”／”全角スラッシュの後に続けて記入すること。</t>
        </r>
      </text>
    </comment>
    <comment ref="BD8" authorId="1" shapeId="0" xr:uid="{81E10B50-ED52-4130-81F0-745588B7A441}">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<sst xmlns="http://schemas.openxmlformats.org/spreadsheetml/2006/main" count="3015" uniqueCount="332">
  <si>
    <t>Ｐｈａｓｅ　外部設計工程</t>
    <rPh sb="6" eb="8">
      <t>ガイブ</t>
    </rPh>
    <rPh sb="8" eb="10">
      <t>セッケイ</t>
    </rPh>
    <rPh sb="10" eb="12">
      <t>コウテイ</t>
    </rPh>
    <phoneticPr fontId="1"/>
  </si>
  <si>
    <t>HOKUREN INTERNAL USE ONLY</t>
  </si>
  <si>
    <t>ＣＳＶファイル項目定義書　変更履歴</t>
    <rPh sb="7" eb="9">
      <t>コウモク</t>
    </rPh>
    <rPh sb="9" eb="12">
      <t>テイギショ</t>
    </rPh>
    <rPh sb="13" eb="15">
      <t>ヘンコウ</t>
    </rPh>
    <rPh sb="15" eb="17">
      <t>リレキ</t>
    </rPh>
    <phoneticPr fontId="1"/>
  </si>
  <si>
    <t>様式No.</t>
    <rPh sb="0" eb="2">
      <t>ヨウシキ</t>
    </rPh>
    <phoneticPr fontId="1"/>
  </si>
  <si>
    <t>F4110-0</t>
    <phoneticPr fontId="1"/>
  </si>
  <si>
    <t>PAGE</t>
    <phoneticPr fontId="1"/>
  </si>
  <si>
    <t>システム名</t>
    <rPh sb="4" eb="5">
      <t>メイ</t>
    </rPh>
    <phoneticPr fontId="1"/>
  </si>
  <si>
    <t>作成日</t>
    <rPh sb="0" eb="2">
      <t>サクセイ</t>
    </rPh>
    <rPh sb="2" eb="3">
      <t>ヒ</t>
    </rPh>
    <phoneticPr fontId="1"/>
  </si>
  <si>
    <t>更新日</t>
    <rPh sb="0" eb="3">
      <t>コウシンビ</t>
    </rPh>
    <phoneticPr fontId="1"/>
  </si>
  <si>
    <t>管理番号</t>
    <rPh sb="0" eb="2">
      <t>カンリ</t>
    </rPh>
    <rPh sb="2" eb="4">
      <t>バンゴウ</t>
    </rPh>
    <phoneticPr fontId="1"/>
  </si>
  <si>
    <t>案件名 / 障害・問合せ件名</t>
    <rPh sb="0" eb="3">
      <t>アンケンメイ</t>
    </rPh>
    <rPh sb="12" eb="14">
      <t>ケンメイ</t>
    </rPh>
    <phoneticPr fontId="20"/>
  </si>
  <si>
    <t>ＣＳＶファイル項目定義書</t>
    <rPh sb="7" eb="9">
      <t>コウモク</t>
    </rPh>
    <rPh sb="9" eb="12">
      <t>テイギショ</t>
    </rPh>
    <phoneticPr fontId="1"/>
  </si>
  <si>
    <t>データストア№</t>
    <phoneticPr fontId="1"/>
  </si>
  <si>
    <t>文字囲み（"　"）</t>
    <rPh sb="0" eb="2">
      <t>モジ</t>
    </rPh>
    <rPh sb="2" eb="3">
      <t>カコ</t>
    </rPh>
    <phoneticPr fontId="1"/>
  </si>
  <si>
    <t>ヘッダ行</t>
    <rPh sb="3" eb="4">
      <t>ギョウ</t>
    </rPh>
    <phoneticPr fontId="1"/>
  </si>
  <si>
    <t>項目数</t>
    <rPh sb="0" eb="2">
      <t>コウモク</t>
    </rPh>
    <rPh sb="2" eb="3">
      <t>スウ</t>
    </rPh>
    <phoneticPr fontId="1"/>
  </si>
  <si>
    <t>ファイル名</t>
    <phoneticPr fontId="1"/>
  </si>
  <si>
    <t>書出し</t>
    <rPh sb="0" eb="2">
      <t>カキダ</t>
    </rPh>
    <phoneticPr fontId="1"/>
  </si>
  <si>
    <t>取込</t>
    <rPh sb="0" eb="2">
      <t>トリコミ</t>
    </rPh>
    <phoneticPr fontId="1"/>
  </si>
  <si>
    <t>セパレータ（,）の記入は省略。</t>
    <rPh sb="9" eb="11">
      <t>キニュウ</t>
    </rPh>
    <rPh sb="12" eb="14">
      <t>ショウリャク</t>
    </rPh>
    <phoneticPr fontId="1"/>
  </si>
  <si>
    <t>No.</t>
    <phoneticPr fontId="1"/>
  </si>
  <si>
    <t>項目名称（日本語）</t>
    <rPh sb="5" eb="8">
      <t>ニホンゴ</t>
    </rPh>
    <phoneticPr fontId="1"/>
  </si>
  <si>
    <t>データ型</t>
    <rPh sb="3" eb="4">
      <t>カタ</t>
    </rPh>
    <phoneticPr fontId="1"/>
  </si>
  <si>
    <t>最大桁数</t>
    <rPh sb="0" eb="2">
      <t>サイダイ</t>
    </rPh>
    <rPh sb="2" eb="4">
      <t>ケタスウ</t>
    </rPh>
    <phoneticPr fontId="1"/>
  </si>
  <si>
    <t>符号</t>
    <phoneticPr fontId="1"/>
  </si>
  <si>
    <t>固定長</t>
    <rPh sb="0" eb="2">
      <t>コテイ</t>
    </rPh>
    <rPh sb="2" eb="3">
      <t>チョウ</t>
    </rPh>
    <phoneticPr fontId="1"/>
  </si>
  <si>
    <t>寄せ</t>
    <rPh sb="0" eb="1">
      <t>ヨ</t>
    </rPh>
    <phoneticPr fontId="1"/>
  </si>
  <si>
    <t>Up
Load</t>
    <phoneticPr fontId="1"/>
  </si>
  <si>
    <t>必須</t>
    <rPh sb="0" eb="2">
      <t>ヒッス</t>
    </rPh>
    <phoneticPr fontId="1"/>
  </si>
  <si>
    <t>項　目　説　明</t>
  </si>
  <si>
    <t>ＣＳＶファイル　データイメージ</t>
    <phoneticPr fontId="1"/>
  </si>
  <si>
    <t>F4110-2</t>
    <phoneticPr fontId="1"/>
  </si>
  <si>
    <t>なし</t>
  </si>
  <si>
    <t>あり</t>
  </si>
  <si>
    <t>文字コード</t>
    <rPh sb="0" eb="2">
      <t>モジ</t>
    </rPh>
    <phoneticPr fontId="1"/>
  </si>
  <si>
    <t>〇</t>
  </si>
  <si>
    <t>項目名称</t>
    <phoneticPr fontId="1"/>
  </si>
  <si>
    <t>データ格納イメージ</t>
    <rPh sb="3" eb="5">
      <t>カクノウ</t>
    </rPh>
    <phoneticPr fontId="1"/>
  </si>
  <si>
    <t>ＣＳＶ取込みチェック（単体 ）</t>
    <rPh sb="3" eb="5">
      <t>トリコ</t>
    </rPh>
    <rPh sb="11" eb="13">
      <t>タンタイ</t>
    </rPh>
    <phoneticPr fontId="1"/>
  </si>
  <si>
    <t>F4110-3</t>
    <phoneticPr fontId="1"/>
  </si>
  <si>
    <t>項目名</t>
    <phoneticPr fontId="1"/>
  </si>
  <si>
    <t>必須
ﾁｪｯｸ</t>
    <rPh sb="0" eb="2">
      <t>ヒッス</t>
    </rPh>
    <phoneticPr fontId="1"/>
  </si>
  <si>
    <t>数字
ﾁｪｯｸ</t>
    <rPh sb="0" eb="2">
      <t>スウジ</t>
    </rPh>
    <phoneticPr fontId="1"/>
  </si>
  <si>
    <t>文字数
ﾁｪｯｸ</t>
    <rPh sb="0" eb="3">
      <t>モジスウ</t>
    </rPh>
    <phoneticPr fontId="1"/>
  </si>
  <si>
    <t>存在
ﾁｪｯｸ</t>
    <rPh sb="0" eb="2">
      <t>ソンザイ</t>
    </rPh>
    <phoneticPr fontId="1"/>
  </si>
  <si>
    <t>チェック補足説明／メッセージ文言</t>
    <phoneticPr fontId="1"/>
  </si>
  <si>
    <t>メッセージ
コード</t>
    <phoneticPr fontId="1"/>
  </si>
  <si>
    <t>ＣＳＶ取込みチェック（関連 ）</t>
    <rPh sb="3" eb="5">
      <t>トリコ</t>
    </rPh>
    <rPh sb="11" eb="13">
      <t>カンレン</t>
    </rPh>
    <phoneticPr fontId="1"/>
  </si>
  <si>
    <t>F4110-4</t>
    <phoneticPr fontId="1"/>
  </si>
  <si>
    <t>チェック詳細／メッセージ文言</t>
    <rPh sb="4" eb="6">
      <t>ショウサイ</t>
    </rPh>
    <rPh sb="12" eb="14">
      <t>モンゴン</t>
    </rPh>
    <phoneticPr fontId="1"/>
  </si>
  <si>
    <t>対象期間(From)</t>
    <rPh sb="0" eb="2">
      <t>タイショウ</t>
    </rPh>
    <rPh sb="2" eb="4">
      <t>キカン</t>
    </rPh>
    <phoneticPr fontId="6"/>
  </si>
  <si>
    <t>対象期間(To)</t>
    <rPh sb="0" eb="2">
      <t>タイショウ</t>
    </rPh>
    <rPh sb="2" eb="4">
      <t>キカン</t>
    </rPh>
    <phoneticPr fontId="6"/>
  </si>
  <si>
    <t>単位</t>
    <rPh sb="0" eb="2">
      <t>タンイ</t>
    </rPh>
    <phoneticPr fontId="6"/>
  </si>
  <si>
    <t>事業所コード</t>
  </si>
  <si>
    <t>事業所名称</t>
    <rPh sb="3" eb="5">
      <t>メイショウ</t>
    </rPh>
    <phoneticPr fontId="2"/>
  </si>
  <si>
    <t>事業本部コード</t>
    <rPh sb="0" eb="2">
      <t>ジギョウ</t>
    </rPh>
    <rPh sb="2" eb="4">
      <t>ホンブ</t>
    </rPh>
    <phoneticPr fontId="6"/>
  </si>
  <si>
    <t>事業本部名称</t>
    <rPh sb="0" eb="2">
      <t>ジギョウ</t>
    </rPh>
    <rPh sb="2" eb="4">
      <t>ホンブ</t>
    </rPh>
    <rPh sb="4" eb="6">
      <t>メイショウ</t>
    </rPh>
    <phoneticPr fontId="6"/>
  </si>
  <si>
    <t>部門コード</t>
    <rPh sb="0" eb="2">
      <t>ブモン</t>
    </rPh>
    <phoneticPr fontId="6"/>
  </si>
  <si>
    <t>部門名称</t>
    <rPh sb="0" eb="2">
      <t>ブモン</t>
    </rPh>
    <rPh sb="2" eb="4">
      <t>メイショウ</t>
    </rPh>
    <phoneticPr fontId="6"/>
  </si>
  <si>
    <t>業種コード</t>
    <rPh sb="0" eb="2">
      <t>ギョウシュ</t>
    </rPh>
    <phoneticPr fontId="6"/>
  </si>
  <si>
    <t>業種名称</t>
    <rPh sb="0" eb="2">
      <t>ギョウシュ</t>
    </rPh>
    <rPh sb="2" eb="4">
      <t>メイショウ</t>
    </rPh>
    <phoneticPr fontId="6"/>
  </si>
  <si>
    <t>集計科目区分</t>
    <rPh sb="0" eb="2">
      <t>シュウケイ</t>
    </rPh>
    <rPh sb="2" eb="4">
      <t>カモク</t>
    </rPh>
    <rPh sb="4" eb="6">
      <t>クブン</t>
    </rPh>
    <phoneticPr fontId="6"/>
  </si>
  <si>
    <t>科目コード</t>
    <rPh sb="0" eb="2">
      <t>カモク</t>
    </rPh>
    <phoneticPr fontId="6"/>
  </si>
  <si>
    <t>科目名称</t>
    <rPh sb="0" eb="2">
      <t>カモク</t>
    </rPh>
    <rPh sb="2" eb="4">
      <t>メイショウ</t>
    </rPh>
    <phoneticPr fontId="6"/>
  </si>
  <si>
    <t>数字</t>
    <rPh sb="0" eb="2">
      <t>スウジ</t>
    </rPh>
    <phoneticPr fontId="2"/>
  </si>
  <si>
    <t>漢字</t>
    <rPh sb="0" eb="2">
      <t>カンジ</t>
    </rPh>
    <phoneticPr fontId="2"/>
  </si>
  <si>
    <t>英数字</t>
    <rPh sb="0" eb="3">
      <t>エイスウジ</t>
    </rPh>
    <phoneticPr fontId="2"/>
  </si>
  <si>
    <t>6</t>
  </si>
  <si>
    <t>2</t>
  </si>
  <si>
    <t>1</t>
  </si>
  <si>
    <t>13</t>
  </si>
  <si>
    <t>出力対象の期間(To)を出力する。</t>
    <rPh sb="12" eb="14">
      <t>シュツリョク</t>
    </rPh>
    <phoneticPr fontId="1"/>
  </si>
  <si>
    <t>出力対象の期間(From)を出力する。</t>
    <phoneticPr fontId="1"/>
  </si>
  <si>
    <t>金額の単位を出力する。</t>
    <phoneticPr fontId="1"/>
  </si>
  <si>
    <t>事務所コードを出力する。</t>
    <rPh sb="0" eb="2">
      <t>ジムショ</t>
    </rPh>
    <rPh sb="6" eb="8">
      <t>シュツリョク</t>
    </rPh>
    <phoneticPr fontId="1"/>
  </si>
  <si>
    <t>事業所コードに該当する名称を出力する。</t>
    <rPh sb="0" eb="3">
      <t>ジギョウショ</t>
    </rPh>
    <rPh sb="7" eb="9">
      <t>ガイトウ</t>
    </rPh>
    <rPh sb="11" eb="13">
      <t>メイショウ</t>
    </rPh>
    <rPh sb="14" eb="16">
      <t>シュツリョク</t>
    </rPh>
    <phoneticPr fontId="1"/>
  </si>
  <si>
    <t>事業本部コードを出力する。</t>
    <rPh sb="0" eb="2">
      <t>ジギョウ</t>
    </rPh>
    <rPh sb="2" eb="4">
      <t>ホンブ</t>
    </rPh>
    <rPh sb="8" eb="10">
      <t>シュツリョク</t>
    </rPh>
    <phoneticPr fontId="1"/>
  </si>
  <si>
    <t>事業本部コードに該当する名称を出力する。</t>
    <rPh sb="0" eb="2">
      <t>ジギョウ</t>
    </rPh>
    <rPh sb="2" eb="4">
      <t>ホンブ</t>
    </rPh>
    <rPh sb="8" eb="10">
      <t>ガイトウ</t>
    </rPh>
    <rPh sb="12" eb="14">
      <t>メイショウ</t>
    </rPh>
    <rPh sb="15" eb="17">
      <t>シュツリョク</t>
    </rPh>
    <phoneticPr fontId="1"/>
  </si>
  <si>
    <t>部門コードを出力する。</t>
    <rPh sb="0" eb="2">
      <t>ブモン</t>
    </rPh>
    <rPh sb="6" eb="8">
      <t>シュツリョク</t>
    </rPh>
    <phoneticPr fontId="1"/>
  </si>
  <si>
    <t>部門コードに該当する名称を出力する。</t>
    <rPh sb="0" eb="2">
      <t>ブモン</t>
    </rPh>
    <rPh sb="6" eb="8">
      <t>ガイトウ</t>
    </rPh>
    <rPh sb="10" eb="12">
      <t>メイショウ</t>
    </rPh>
    <rPh sb="13" eb="15">
      <t>シュツリョク</t>
    </rPh>
    <phoneticPr fontId="1"/>
  </si>
  <si>
    <t>勘定科目の集計科目区分を出力する。
０：明細科目
１：集計科目</t>
    <rPh sb="12" eb="14">
      <t>シュツリョク</t>
    </rPh>
    <phoneticPr fontId="1"/>
  </si>
  <si>
    <t>項科目コードに該当する名称を出力する。</t>
    <rPh sb="0" eb="1">
      <t>コウ</t>
    </rPh>
    <rPh sb="1" eb="3">
      <t>カモク</t>
    </rPh>
    <rPh sb="7" eb="9">
      <t>ガイトウ</t>
    </rPh>
    <rPh sb="11" eb="13">
      <t>メイショウ</t>
    </rPh>
    <rPh sb="14" eb="16">
      <t>シュツリョク</t>
    </rPh>
    <phoneticPr fontId="1"/>
  </si>
  <si>
    <t>千円</t>
    <phoneticPr fontId="1"/>
  </si>
  <si>
    <t>90</t>
    <phoneticPr fontId="1"/>
  </si>
  <si>
    <t>本所</t>
    <phoneticPr fontId="1"/>
  </si>
  <si>
    <t>243</t>
    <phoneticPr fontId="1"/>
  </si>
  <si>
    <t>酪農畜産事業本部</t>
    <phoneticPr fontId="1"/>
  </si>
  <si>
    <t>牛乳乳製品</t>
    <phoneticPr fontId="1"/>
  </si>
  <si>
    <t>49</t>
    <phoneticPr fontId="1"/>
  </si>
  <si>
    <t>チェックなし</t>
    <phoneticPr fontId="1"/>
  </si>
  <si>
    <t>千円</t>
  </si>
  <si>
    <t>一般取扱高（Ａ）</t>
  </si>
  <si>
    <t>その他取扱高（Ｂ）</t>
  </si>
  <si>
    <t>～</t>
    <phoneticPr fontId="1"/>
  </si>
  <si>
    <t>畜産販売</t>
    <phoneticPr fontId="1"/>
  </si>
  <si>
    <t>369</t>
    <phoneticPr fontId="1"/>
  </si>
  <si>
    <t>業種コードを出力する。</t>
    <rPh sb="0" eb="2">
      <t>ギョウシュ</t>
    </rPh>
    <rPh sb="6" eb="8">
      <t>シュツリョク</t>
    </rPh>
    <phoneticPr fontId="1"/>
  </si>
  <si>
    <t>業種コードに該当する名称を出力する。</t>
    <rPh sb="0" eb="2">
      <t>ギョウシュ</t>
    </rPh>
    <rPh sb="6" eb="8">
      <t>ガイトウ</t>
    </rPh>
    <rPh sb="10" eb="12">
      <t>メイショウ</t>
    </rPh>
    <rPh sb="13" eb="15">
      <t>シュツリョク</t>
    </rPh>
    <phoneticPr fontId="1"/>
  </si>
  <si>
    <t>品目別取扱高計画実績対比表</t>
    <phoneticPr fontId="1"/>
  </si>
  <si>
    <t>会計情報品名コード</t>
  </si>
  <si>
    <t>会計情報品名コード</t>
    <rPh sb="0" eb="2">
      <t>カイケイ</t>
    </rPh>
    <rPh sb="2" eb="4">
      <t>ジョウホウ</t>
    </rPh>
    <rPh sb="4" eb="6">
      <t>ヒンメイ</t>
    </rPh>
    <phoneticPr fontId="6"/>
  </si>
  <si>
    <t>会計情報品名名称</t>
  </si>
  <si>
    <t>会計情報品名名称</t>
    <rPh sb="0" eb="2">
      <t>カイケイ</t>
    </rPh>
    <rPh sb="2" eb="4">
      <t>ジョウホウ</t>
    </rPh>
    <rPh sb="4" eb="6">
      <t>ヒンメイ</t>
    </rPh>
    <rPh sb="6" eb="8">
      <t>メイショウ</t>
    </rPh>
    <phoneticPr fontId="6"/>
  </si>
  <si>
    <t>数字</t>
    <phoneticPr fontId="2"/>
  </si>
  <si>
    <t>手数料率</t>
  </si>
  <si>
    <t>手数料率</t>
    <phoneticPr fontId="1"/>
  </si>
  <si>
    <t>1.科目が「一般取扱」の場合に出力する。
2.会計情報品名コードを出力する。</t>
    <rPh sb="33" eb="35">
      <t>シュツリョク</t>
    </rPh>
    <phoneticPr fontId="1"/>
  </si>
  <si>
    <t>1.科目が「一般取扱」の場合に出力する。
2.会計情報品名コードに該当する名称を出力する。</t>
    <rPh sb="33" eb="35">
      <t>ガイトウ</t>
    </rPh>
    <rPh sb="37" eb="39">
      <t>メイショウ</t>
    </rPh>
    <rPh sb="40" eb="42">
      <t>シュツリョク</t>
    </rPh>
    <phoneticPr fontId="1"/>
  </si>
  <si>
    <t>100</t>
    <phoneticPr fontId="1"/>
  </si>
  <si>
    <t>豆類</t>
    <phoneticPr fontId="1"/>
  </si>
  <si>
    <t>940000</t>
    <phoneticPr fontId="1"/>
  </si>
  <si>
    <t>一般取扱高（Ａ）</t>
    <phoneticPr fontId="1"/>
  </si>
  <si>
    <t>1250000</t>
    <phoneticPr fontId="1"/>
  </si>
  <si>
    <t>1547635</t>
    <phoneticPr fontId="1"/>
  </si>
  <si>
    <t>123.8</t>
    <phoneticPr fontId="1"/>
  </si>
  <si>
    <t>1541023</t>
    <phoneticPr fontId="1"/>
  </si>
  <si>
    <t>100.4</t>
    <phoneticPr fontId="1"/>
  </si>
  <si>
    <t>25000</t>
    <phoneticPr fontId="1"/>
  </si>
  <si>
    <t>45704</t>
    <phoneticPr fontId="1"/>
  </si>
  <si>
    <t>18310</t>
    <phoneticPr fontId="1"/>
  </si>
  <si>
    <t>64014</t>
    <phoneticPr fontId="1"/>
  </si>
  <si>
    <t>182.8</t>
    <phoneticPr fontId="1"/>
  </si>
  <si>
    <t>39837</t>
    <phoneticPr fontId="1"/>
  </si>
  <si>
    <t>114.7</t>
    <phoneticPr fontId="1"/>
  </si>
  <si>
    <t>3.0</t>
    <phoneticPr fontId="1"/>
  </si>
  <si>
    <t>対象期間From</t>
  </si>
  <si>
    <t>対象期間To</t>
  </si>
  <si>
    <t>単位</t>
  </si>
  <si>
    <t>事業所名称</t>
  </si>
  <si>
    <t>事業本部コード</t>
  </si>
  <si>
    <t>事業本部名称</t>
  </si>
  <si>
    <t>部門コード</t>
  </si>
  <si>
    <t>部門名称</t>
  </si>
  <si>
    <t>業種コード</t>
  </si>
  <si>
    <t>業種名称</t>
  </si>
  <si>
    <t>集計区分</t>
  </si>
  <si>
    <t>科目コード</t>
  </si>
  <si>
    <t>科目名称</t>
  </si>
  <si>
    <t>取扱高年間計画</t>
  </si>
  <si>
    <t>取扱高実績</t>
  </si>
  <si>
    <t>取扱高進度率</t>
  </si>
  <si>
    <t>取扱高前年同期</t>
  </si>
  <si>
    <t>取扱高前年比</t>
  </si>
  <si>
    <t>手数料年間計画</t>
  </si>
  <si>
    <t>手数料実績</t>
  </si>
  <si>
    <t>手数料実績　費用</t>
  </si>
  <si>
    <t>手数料実績　収益</t>
  </si>
  <si>
    <t>手数料進度率</t>
  </si>
  <si>
    <t>手数料前年同期</t>
  </si>
  <si>
    <t>手数料前年比</t>
  </si>
  <si>
    <t>011</t>
  </si>
  <si>
    <t>政府備蓄米</t>
  </si>
  <si>
    <t>020</t>
  </si>
  <si>
    <t>うるち米</t>
  </si>
  <si>
    <t>農産広域センター 石狩穀物調製センター</t>
  </si>
  <si>
    <t>札幌野菜センター</t>
  </si>
  <si>
    <t>農産事業本部</t>
  </si>
  <si>
    <t>04</t>
  </si>
  <si>
    <t>種苗園芸</t>
  </si>
  <si>
    <t>農産事業本部</t>
    <phoneticPr fontId="1"/>
  </si>
  <si>
    <t>園芸</t>
  </si>
  <si>
    <t>本所</t>
  </si>
  <si>
    <t>種苗園芸</t>
    <phoneticPr fontId="1"/>
  </si>
  <si>
    <t>園芸</t>
    <phoneticPr fontId="1"/>
  </si>
  <si>
    <t>施設コードを出力する。
（※）業種が「てん菜」、「採種」、「輸送」の場合には、業種コードを出力する。</t>
    <rPh sb="6" eb="8">
      <t>シュツリョク</t>
    </rPh>
    <phoneticPr fontId="1"/>
  </si>
  <si>
    <t>施設コードに該当する名称を出力する。
所属上位組織名称(漢字１０文字)＋全角スペース＋所属名称(漢字１０文字)を出力する。
（※）業種が「てん菜」、「採種」、「輸送」の場合には、業種名称を出力する。</t>
    <rPh sb="19" eb="21">
      <t>ショゾク</t>
    </rPh>
    <rPh sb="21" eb="23">
      <t>ジョウイ</t>
    </rPh>
    <rPh sb="23" eb="25">
      <t>ソシキ</t>
    </rPh>
    <rPh sb="25" eb="27">
      <t>メイショウ</t>
    </rPh>
    <rPh sb="28" eb="30">
      <t>カンジ</t>
    </rPh>
    <rPh sb="32" eb="34">
      <t>モジ</t>
    </rPh>
    <rPh sb="36" eb="38">
      <t>ゼンカク</t>
    </rPh>
    <rPh sb="43" eb="45">
      <t>ショゾク</t>
    </rPh>
    <rPh sb="45" eb="47">
      <t>メイショウ</t>
    </rPh>
    <rPh sb="48" eb="50">
      <t>カンジ</t>
    </rPh>
    <rPh sb="52" eb="54">
      <t>モジ</t>
    </rPh>
    <rPh sb="56" eb="58">
      <t>シュツリョク</t>
    </rPh>
    <phoneticPr fontId="1"/>
  </si>
  <si>
    <t>部コード</t>
    <rPh sb="0" eb="1">
      <t>ブ</t>
    </rPh>
    <phoneticPr fontId="1"/>
  </si>
  <si>
    <t>部名称</t>
    <rPh sb="0" eb="1">
      <t>ブ</t>
    </rPh>
    <phoneticPr fontId="1"/>
  </si>
  <si>
    <t>種苗園芸部</t>
    <phoneticPr fontId="1"/>
  </si>
  <si>
    <t>361</t>
    <phoneticPr fontId="1"/>
  </si>
  <si>
    <t>取扱高進度率</t>
    <rPh sb="0" eb="2">
      <t>トリアツカイ</t>
    </rPh>
    <rPh sb="2" eb="3">
      <t>ダカ</t>
    </rPh>
    <rPh sb="3" eb="5">
      <t>シンド</t>
    </rPh>
    <rPh sb="5" eb="6">
      <t>リツ</t>
    </rPh>
    <phoneticPr fontId="6"/>
  </si>
  <si>
    <t>取扱高前年同期</t>
    <rPh sb="0" eb="2">
      <t>トリアツカイ</t>
    </rPh>
    <rPh sb="2" eb="3">
      <t>ダカ</t>
    </rPh>
    <rPh sb="3" eb="5">
      <t>ゼンネン</t>
    </rPh>
    <rPh sb="5" eb="7">
      <t>ドウキ</t>
    </rPh>
    <phoneticPr fontId="6"/>
  </si>
  <si>
    <t>取扱高前年比</t>
    <rPh sb="0" eb="2">
      <t>トリアツカイ</t>
    </rPh>
    <rPh sb="2" eb="3">
      <t>ダカ</t>
    </rPh>
    <rPh sb="3" eb="6">
      <t>ゼンネンヒ</t>
    </rPh>
    <phoneticPr fontId="6"/>
  </si>
  <si>
    <t>手数料年間計画</t>
    <rPh sb="0" eb="3">
      <t>テスウリョウ</t>
    </rPh>
    <rPh sb="3" eb="5">
      <t>ネンカン</t>
    </rPh>
    <rPh sb="5" eb="7">
      <t>ケイカク</t>
    </rPh>
    <phoneticPr fontId="6"/>
  </si>
  <si>
    <t>手数料実績</t>
    <rPh sb="0" eb="3">
      <t>テスウリョウ</t>
    </rPh>
    <rPh sb="3" eb="5">
      <t>ジッセキ</t>
    </rPh>
    <phoneticPr fontId="6"/>
  </si>
  <si>
    <t>手数料実績（収益）</t>
    <rPh sb="0" eb="3">
      <t>テスウリョウ</t>
    </rPh>
    <rPh sb="3" eb="5">
      <t>ジッセキ</t>
    </rPh>
    <rPh sb="6" eb="8">
      <t>シュウエキ</t>
    </rPh>
    <phoneticPr fontId="6"/>
  </si>
  <si>
    <t>手数料進度率</t>
    <rPh sb="0" eb="3">
      <t>テスウリョウ</t>
    </rPh>
    <rPh sb="3" eb="5">
      <t>シンド</t>
    </rPh>
    <rPh sb="5" eb="6">
      <t>リツ</t>
    </rPh>
    <phoneticPr fontId="2"/>
  </si>
  <si>
    <t>手数料前年同期</t>
    <phoneticPr fontId="1"/>
  </si>
  <si>
    <t>手数料前年比</t>
    <phoneticPr fontId="1"/>
  </si>
  <si>
    <t>手数料実績（費用）</t>
    <phoneticPr fontId="6"/>
  </si>
  <si>
    <t>取扱高実績</t>
    <phoneticPr fontId="6"/>
  </si>
  <si>
    <t>取扱高年間計画</t>
    <rPh sb="0" eb="2">
      <t>トリアツカイ</t>
    </rPh>
    <rPh sb="2" eb="3">
      <t>ダカ</t>
    </rPh>
    <rPh sb="3" eb="5">
      <t>ネンカン</t>
    </rPh>
    <rPh sb="5" eb="7">
      <t>ネンカンケイカク</t>
    </rPh>
    <phoneticPr fontId="6"/>
  </si>
  <si>
    <t>5614</t>
    <phoneticPr fontId="1"/>
  </si>
  <si>
    <t>札幌野菜センター</t>
    <phoneticPr fontId="1"/>
  </si>
  <si>
    <t>集計区分</t>
    <rPh sb="0" eb="4">
      <t>シュウケイクブン</t>
    </rPh>
    <phoneticPr fontId="1"/>
  </si>
  <si>
    <t>集計区分名称</t>
    <rPh sb="0" eb="4">
      <t>シュウケイクブン</t>
    </rPh>
    <rPh sb="4" eb="6">
      <t>メイショウ</t>
    </rPh>
    <phoneticPr fontId="1"/>
  </si>
  <si>
    <t>英数字</t>
    <rPh sb="0" eb="3">
      <t>エイスウジ</t>
    </rPh>
    <phoneticPr fontId="1"/>
  </si>
  <si>
    <t>漢字</t>
    <rPh sb="0" eb="2">
      <t>カンジ</t>
    </rPh>
    <phoneticPr fontId="1"/>
  </si>
  <si>
    <t>集計区分を出力する。</t>
    <phoneticPr fontId="1"/>
  </si>
  <si>
    <t>01</t>
  </si>
  <si>
    <t>01</t>
    <phoneticPr fontId="1"/>
  </si>
  <si>
    <t>総合</t>
    <rPh sb="0" eb="2">
      <t>ソウゴウ</t>
    </rPh>
    <phoneticPr fontId="1"/>
  </si>
  <si>
    <t>集計区分</t>
    <phoneticPr fontId="1"/>
  </si>
  <si>
    <t>集計区分名称</t>
    <phoneticPr fontId="1"/>
  </si>
  <si>
    <t>12</t>
  </si>
  <si>
    <t>12</t>
    <phoneticPr fontId="1"/>
  </si>
  <si>
    <t>13</t>
    <phoneticPr fontId="1"/>
  </si>
  <si>
    <t>22</t>
  </si>
  <si>
    <t>22</t>
    <phoneticPr fontId="1"/>
  </si>
  <si>
    <t>00</t>
  </si>
  <si>
    <t>施設コード</t>
    <phoneticPr fontId="1"/>
  </si>
  <si>
    <t>施設名称</t>
    <phoneticPr fontId="1"/>
  </si>
  <si>
    <t>総合選択時</t>
    <rPh sb="0" eb="5">
      <t>ソウゴウセンタクジ</t>
    </rPh>
    <phoneticPr fontId="1"/>
  </si>
  <si>
    <t>事業所選択時</t>
    <rPh sb="0" eb="3">
      <t>ジギョウショ</t>
    </rPh>
    <rPh sb="3" eb="5">
      <t>センタク</t>
    </rPh>
    <rPh sb="5" eb="6">
      <t>ジ</t>
    </rPh>
    <phoneticPr fontId="1"/>
  </si>
  <si>
    <t>00</t>
    <phoneticPr fontId="1"/>
  </si>
  <si>
    <t>011</t>
    <phoneticPr fontId="1"/>
  </si>
  <si>
    <t>政府備蓄米</t>
    <phoneticPr fontId="1"/>
  </si>
  <si>
    <t>その他取扱高（Ｂ）</t>
    <phoneticPr fontId="1"/>
  </si>
  <si>
    <t>02</t>
  </si>
  <si>
    <t>02</t>
    <phoneticPr fontId="1"/>
  </si>
  <si>
    <t>食肉加工工場</t>
  </si>
  <si>
    <t>食肉加工工場</t>
    <phoneticPr fontId="1"/>
  </si>
  <si>
    <t>女満別種子工場</t>
    <phoneticPr fontId="1"/>
  </si>
  <si>
    <t>21</t>
  </si>
  <si>
    <t>21</t>
    <phoneticPr fontId="1"/>
  </si>
  <si>
    <t>畜産販売部</t>
  </si>
  <si>
    <t>畜産販売部</t>
    <phoneticPr fontId="1"/>
  </si>
  <si>
    <t>369</t>
  </si>
  <si>
    <t>てん菜生産部</t>
  </si>
  <si>
    <t>てん菜生産部</t>
    <phoneticPr fontId="1"/>
  </si>
  <si>
    <t>肥料農薬部</t>
  </si>
  <si>
    <t>肥料農薬部</t>
    <phoneticPr fontId="1"/>
  </si>
  <si>
    <t>365</t>
  </si>
  <si>
    <t>365</t>
    <phoneticPr fontId="1"/>
  </si>
  <si>
    <t>370</t>
  </si>
  <si>
    <t>370</t>
    <phoneticPr fontId="1"/>
  </si>
  <si>
    <t>原料課</t>
  </si>
  <si>
    <t>原料課</t>
    <phoneticPr fontId="1"/>
  </si>
  <si>
    <t>砂糖製造課</t>
  </si>
  <si>
    <t>砂糖製造課</t>
    <phoneticPr fontId="1"/>
  </si>
  <si>
    <t>ビーフ課</t>
  </si>
  <si>
    <t>ビーフ課</t>
    <phoneticPr fontId="1"/>
  </si>
  <si>
    <t>ポーク課</t>
  </si>
  <si>
    <t>ポーク課</t>
    <phoneticPr fontId="1"/>
  </si>
  <si>
    <t>4152</t>
  </si>
  <si>
    <t>4152</t>
    <phoneticPr fontId="1"/>
  </si>
  <si>
    <t>4153</t>
  </si>
  <si>
    <t>4153</t>
    <phoneticPr fontId="1"/>
  </si>
  <si>
    <t>4167</t>
  </si>
  <si>
    <t>4167</t>
    <phoneticPr fontId="1"/>
  </si>
  <si>
    <t>4562</t>
  </si>
  <si>
    <t>4562</t>
    <phoneticPr fontId="1"/>
  </si>
  <si>
    <t>4171</t>
  </si>
  <si>
    <t>4171</t>
    <phoneticPr fontId="1"/>
  </si>
  <si>
    <t>てん菜企画課</t>
  </si>
  <si>
    <t>てん菜企画課</t>
    <phoneticPr fontId="1"/>
  </si>
  <si>
    <t>4145</t>
  </si>
  <si>
    <t>4145</t>
    <phoneticPr fontId="1"/>
  </si>
  <si>
    <t>部コード</t>
    <rPh sb="0" eb="1">
      <t>ブ</t>
    </rPh>
    <phoneticPr fontId="6"/>
  </si>
  <si>
    <t>部名称</t>
    <rPh sb="0" eb="1">
      <t>ブ</t>
    </rPh>
    <rPh sb="1" eb="3">
      <t>メイショウ</t>
    </rPh>
    <phoneticPr fontId="6"/>
  </si>
  <si>
    <t>部コードを出力する。</t>
    <rPh sb="0" eb="1">
      <t>ブ</t>
    </rPh>
    <rPh sb="5" eb="7">
      <t>シュツリョク</t>
    </rPh>
    <phoneticPr fontId="1"/>
  </si>
  <si>
    <t>部コードに該当する名称を出力する。</t>
    <rPh sb="0" eb="1">
      <t>ブ</t>
    </rPh>
    <rPh sb="5" eb="7">
      <t>ガイトウ</t>
    </rPh>
    <rPh sb="9" eb="11">
      <t>メイショウ</t>
    </rPh>
    <rPh sb="12" eb="14">
      <t>シュツリョク</t>
    </rPh>
    <phoneticPr fontId="1"/>
  </si>
  <si>
    <t>事業本部別</t>
    <rPh sb="0" eb="2">
      <t>ジギョウ</t>
    </rPh>
    <rPh sb="2" eb="4">
      <t>ホンブ</t>
    </rPh>
    <rPh sb="4" eb="5">
      <t>ベツ</t>
    </rPh>
    <phoneticPr fontId="1"/>
  </si>
  <si>
    <t>部門別</t>
    <rPh sb="0" eb="2">
      <t>ブモン</t>
    </rPh>
    <rPh sb="2" eb="3">
      <t>ベツ</t>
    </rPh>
    <phoneticPr fontId="1"/>
  </si>
  <si>
    <t>業種別</t>
    <rPh sb="0" eb="2">
      <t>ギョウシュ</t>
    </rPh>
    <rPh sb="2" eb="3">
      <t>ベツ</t>
    </rPh>
    <phoneticPr fontId="1"/>
  </si>
  <si>
    <t>女満別種子工場</t>
  </si>
  <si>
    <t>51</t>
  </si>
  <si>
    <t>51</t>
    <phoneticPr fontId="1"/>
  </si>
  <si>
    <t>肥料</t>
    <rPh sb="0" eb="1">
      <t>ヒリョウ</t>
    </rPh>
    <phoneticPr fontId="1"/>
  </si>
  <si>
    <t>52</t>
  </si>
  <si>
    <t>52</t>
    <phoneticPr fontId="1"/>
  </si>
  <si>
    <t>農薬</t>
    <rPh sb="0" eb="2">
      <t>ノウヤク</t>
    </rPh>
    <phoneticPr fontId="1"/>
  </si>
  <si>
    <t>てん菜</t>
    <rPh sb="1" eb="2">
      <t>サイ</t>
    </rPh>
    <phoneticPr fontId="1"/>
  </si>
  <si>
    <t>採取</t>
    <rPh sb="0" eb="2">
      <t>サイシュ</t>
    </rPh>
    <phoneticPr fontId="1"/>
  </si>
  <si>
    <t>5615</t>
    <phoneticPr fontId="1"/>
  </si>
  <si>
    <t>5648</t>
    <phoneticPr fontId="1"/>
  </si>
  <si>
    <t>技術普及課</t>
  </si>
  <si>
    <t>技術普及課</t>
    <phoneticPr fontId="1"/>
  </si>
  <si>
    <t>45</t>
  </si>
  <si>
    <t>畜産　</t>
  </si>
  <si>
    <t>予算組織コード</t>
    <rPh sb="0" eb="2">
      <t>ヨサン</t>
    </rPh>
    <rPh sb="2" eb="4">
      <t>ソシキ</t>
    </rPh>
    <phoneticPr fontId="1"/>
  </si>
  <si>
    <t>予算組織名称</t>
    <rPh sb="0" eb="2">
      <t>ヨサン</t>
    </rPh>
    <rPh sb="2" eb="4">
      <t>ソシキ</t>
    </rPh>
    <rPh sb="4" eb="6">
      <t>メイショウ</t>
    </rPh>
    <phoneticPr fontId="1"/>
  </si>
  <si>
    <t>予算組織コード</t>
    <rPh sb="0" eb="4">
      <t>ヨサンソシキ</t>
    </rPh>
    <phoneticPr fontId="6"/>
  </si>
  <si>
    <t>予算組織コードを出力する。</t>
    <rPh sb="0" eb="2">
      <t>ヨサン</t>
    </rPh>
    <rPh sb="2" eb="4">
      <t>ソシキ</t>
    </rPh>
    <rPh sb="8" eb="10">
      <t>シュツリョク</t>
    </rPh>
    <phoneticPr fontId="1"/>
  </si>
  <si>
    <t>予算組織コードに該当する名称を出力する。</t>
    <rPh sb="0" eb="2">
      <t>ヨサン</t>
    </rPh>
    <rPh sb="2" eb="4">
      <t>ソシキ</t>
    </rPh>
    <rPh sb="8" eb="10">
      <t>ガイトウ</t>
    </rPh>
    <rPh sb="12" eb="14">
      <t>メイショウ</t>
    </rPh>
    <rPh sb="15" eb="17">
      <t>シュツリョク</t>
    </rPh>
    <phoneticPr fontId="1"/>
  </si>
  <si>
    <t>項科目コードを出力する。
※発生のない科目（年間計画、実績ともに存在しない場合）は出力しない。
※データが存在しなかった場合、集計行も出力しない</t>
    <rPh sb="7" eb="9">
      <t>シュツリョク</t>
    </rPh>
    <phoneticPr fontId="1"/>
  </si>
  <si>
    <t>関連チェック概要</t>
    <phoneticPr fontId="1"/>
  </si>
  <si>
    <t>CSVファイルソート順</t>
    <rPh sb="10" eb="11">
      <t>ジュン</t>
    </rPh>
    <phoneticPr fontId="1"/>
  </si>
  <si>
    <t>項目名（ソート項目順に列挙）</t>
    <rPh sb="0" eb="3">
      <t>コウモクメイ</t>
    </rPh>
    <rPh sb="7" eb="10">
      <t>コウモクジュン</t>
    </rPh>
    <rPh sb="11" eb="13">
      <t>レッキョ</t>
    </rPh>
    <phoneticPr fontId="1"/>
  </si>
  <si>
    <t>表示順</t>
    <rPh sb="0" eb="2">
      <t>ヒョウジ</t>
    </rPh>
    <rPh sb="2" eb="3">
      <t>ジュン</t>
    </rPh>
    <phoneticPr fontId="1"/>
  </si>
  <si>
    <t>業種別検索時</t>
    <rPh sb="0" eb="3">
      <t>ギョウシュベツ</t>
    </rPh>
    <rPh sb="3" eb="6">
      <t>ケンサクジ</t>
    </rPh>
    <phoneticPr fontId="1"/>
  </si>
  <si>
    <t>事業所コード</t>
    <rPh sb="0" eb="3">
      <t>ジギョウショ</t>
    </rPh>
    <phoneticPr fontId="1"/>
  </si>
  <si>
    <t>昇順</t>
  </si>
  <si>
    <t>事業本部コード</t>
    <rPh sb="0" eb="4">
      <t>ジギョウホンブ</t>
    </rPh>
    <phoneticPr fontId="1"/>
  </si>
  <si>
    <t>部門コード</t>
    <rPh sb="0" eb="2">
      <t>ブモン</t>
    </rPh>
    <phoneticPr fontId="1"/>
  </si>
  <si>
    <t>業種コード</t>
    <rPh sb="0" eb="2">
      <t>ギョウシュ</t>
    </rPh>
    <phoneticPr fontId="1"/>
  </si>
  <si>
    <t>施設コード</t>
    <rPh sb="0" eb="2">
      <t>シセツ</t>
    </rPh>
    <phoneticPr fontId="1"/>
  </si>
  <si>
    <t>予算組織コード</t>
    <rPh sb="0" eb="4">
      <t>ヨサンソシキ</t>
    </rPh>
    <phoneticPr fontId="1"/>
  </si>
  <si>
    <t>会計情報品名コード</t>
    <rPh sb="0" eb="4">
      <t>カイケイジョウホウ</t>
    </rPh>
    <rPh sb="4" eb="6">
      <t>ヒンメイ</t>
    </rPh>
    <phoneticPr fontId="1"/>
  </si>
  <si>
    <t>組織別検索時</t>
    <rPh sb="0" eb="2">
      <t>ソシキ</t>
    </rPh>
    <phoneticPr fontId="1"/>
  </si>
  <si>
    <t>集計区分</t>
    <rPh sb="0" eb="2">
      <t>シュウケイ</t>
    </rPh>
    <rPh sb="2" eb="4">
      <t>クブン</t>
    </rPh>
    <phoneticPr fontId="1"/>
  </si>
  <si>
    <t>業種名称</t>
    <rPh sb="0" eb="4">
      <t>ギョウシュメイショウ</t>
    </rPh>
    <phoneticPr fontId="1"/>
  </si>
  <si>
    <t>予算組織名称</t>
    <rPh sb="2" eb="4">
      <t>ソシキ</t>
    </rPh>
    <rPh sb="4" eb="6">
      <t>メイショウ</t>
    </rPh>
    <phoneticPr fontId="6"/>
  </si>
  <si>
    <t>施設コード</t>
    <rPh sb="0" eb="2">
      <t>シセツ</t>
    </rPh>
    <phoneticPr fontId="6"/>
  </si>
  <si>
    <t>施設名称</t>
    <rPh sb="0" eb="2">
      <t>シセツ</t>
    </rPh>
    <rPh sb="2" eb="4">
      <t>メイショウ</t>
    </rPh>
    <phoneticPr fontId="6"/>
  </si>
  <si>
    <t>201804</t>
    <phoneticPr fontId="1"/>
  </si>
  <si>
    <t>202407</t>
  </si>
  <si>
    <t>202407</t>
    <phoneticPr fontId="1"/>
  </si>
  <si>
    <t>202404</t>
  </si>
  <si>
    <t>202404</t>
    <phoneticPr fontId="1"/>
  </si>
  <si>
    <t>事業所計</t>
    <rPh sb="0" eb="3">
      <t>ジギョウショ</t>
    </rPh>
    <rPh sb="3" eb="4">
      <t>ケイ</t>
    </rPh>
    <phoneticPr fontId="1"/>
  </si>
  <si>
    <t>部別</t>
    <rPh sb="1" eb="2">
      <t>ベツ</t>
    </rPh>
    <phoneticPr fontId="1"/>
  </si>
  <si>
    <t>2025/08/29</t>
    <phoneticPr fontId="1"/>
  </si>
  <si>
    <t>統合会計システム</t>
    <phoneticPr fontId="1"/>
  </si>
  <si>
    <t>D03030301</t>
    <phoneticPr fontId="1"/>
  </si>
  <si>
    <t>Shift jis</t>
  </si>
  <si>
    <t>1.対象の取扱高年間計画値を出力する。（計画情報．当初金額）
2.０円の場合は空欄を表示します。
3.０円ではないが、表示単位未満の場合は０を出力する。
4.単位未満は切り捨てとする。
5.年間計画値は項科目単位の計画データまたは、会計情報品目単位で集計して出力する。
6.年間計画値は千円単位で登録するが、画面で指定された金額単位に応じて、実績値と同じ単位に編集して出力する。</t>
  </si>
  <si>
    <t>1.対象の取扱高年間計画値と実績値に対しての進度率を出力する。（小数第二位四捨五入）
（式）取扱高進度率 ＝ 取扱高実績 ÷ 取扱高年間計画 × 100
2.999.9を超える場合は、999.9と出力する。
3.-999.9を下回る場合は-999.9と出力する。
4.除算エラーの場合は0を出力する。</t>
  </si>
  <si>
    <t>1.対象の取扱高実績値と取扱高前年同期に対しての前年比を出力する。（小数第二位四捨五入）
（式）取扱高前年比 ＝ 取扱高実績 ÷ 取扱高前年同期 × 100
2.999.9を超える場合は、999.9と出力する。
3.-999.9を下回る場合は-999.9と出力する。
4.除算エラーの場合は0を出力する。</t>
    <rPh sb="24" eb="27">
      <t>ゼンネンヒ</t>
    </rPh>
    <phoneticPr fontId="1"/>
  </si>
  <si>
    <t>1.対象の手数料年間計画値と実績値に対しての進度率を出力する。（小数第二位四捨五入）
（式）手数料進度率 ＝ 手数料実績 ÷ 手数料年間計画 × 100
2.999.9を超える場合は、999.9と出力する。
3.-999.9を下回る場合は-999.9と出力する。
4.除算エラーの場合は0を出力する。</t>
  </si>
  <si>
    <t xml:space="preserve">1.対象の手数料実績値と手数料前年同期に対しての進度率を出力する。（小数第二位四捨五入）
（式）手数料前年比 ＝ 手数料実績 ÷ 手数料前年同期 × 100
2.999.9を超える場合は、999.9と出力する。
3.-999.9を下回る場合は-999.9と出力する。
4.除算エラーの場合は0を出力する。
</t>
  </si>
  <si>
    <t>対象の手数料実績値と取扱高実績値に対しての進度率を出力する。（小数第二位四捨五入）
（式）手数料率 ＝ 手数料実績 ÷ 取扱高実績 × 100
2.999.9を超える場合は、999.9と出力する。
3.-999.9を下回る場合は-999.9と出力する。
4.除算エラーの場合は0を出力する。</t>
  </si>
  <si>
    <t>1.対象の取扱高実績値を出力する。
2.０円の場合は空欄を出力する。
3.０円ではないが、表示単位未満の場合は０を出力する。
4.単位未満は切り捨てとする。</t>
    <rPh sb="2" eb="4">
      <t>タイショウ</t>
    </rPh>
    <rPh sb="5" eb="7">
      <t>トリアツカイ</t>
    </rPh>
    <rPh sb="7" eb="8">
      <t>ダカ</t>
    </rPh>
    <rPh sb="8" eb="11">
      <t>ジッセキチ</t>
    </rPh>
    <rPh sb="57" eb="59">
      <t>シュツリョク</t>
    </rPh>
    <phoneticPr fontId="1"/>
  </si>
  <si>
    <t>1.対象の前年度となる取扱高実績値を出力する。
2.０円の場合は空欄を出力する。
3.０円ではないが、表示単位未満の場合は０を出力する。
4.単位未満は切り捨てとする。</t>
    <rPh sb="2" eb="4">
      <t>タイショウ</t>
    </rPh>
    <rPh sb="5" eb="8">
      <t>ゼンネンド</t>
    </rPh>
    <phoneticPr fontId="1"/>
  </si>
  <si>
    <t>1.対象の手数料年間計画値を出力する。
2.０円の場合は空欄を出力する。
3.０円ではないが、表示単位未満の場合は０を出力する。
4.単位未満は切り捨てとする。
5.年間計画値は項科目単位の計画データまたは、会計情報品目単位で集計して出力する。
6.年間計画値は千円単位で登録するが、画面で指定された金額単位に応じて、実績値と同じ単位に編集して出力する。</t>
    <rPh sb="2" eb="4">
      <t>タイショウ</t>
    </rPh>
    <rPh sb="5" eb="8">
      <t>テスウリョウ</t>
    </rPh>
    <rPh sb="8" eb="10">
      <t>ネンカン</t>
    </rPh>
    <rPh sb="10" eb="12">
      <t>ケイカク</t>
    </rPh>
    <rPh sb="12" eb="13">
      <t>チ</t>
    </rPh>
    <phoneticPr fontId="1"/>
  </si>
  <si>
    <t>1.対象の前年度となる取扱高実績値を出力する。
（式）手数料実績 ＝ 手数料実績（収益） － 手数料実績（費用）
2.０円の場合は空欄を出力する。
3.０円ではないが、表示単位未満の場合は０を出力する。
4.単位未満は切り捨てとする。</t>
    <rPh sb="2" eb="4">
      <t>タイショウ</t>
    </rPh>
    <rPh sb="5" eb="8">
      <t>ゼンネンド</t>
    </rPh>
    <phoneticPr fontId="1"/>
  </si>
  <si>
    <t>1.対象の手数料実績値（費用）を出力する。
2.０円の場合は空欄を出力する。
3.０円ではないが、表示単位未満の場合は０を出力する。
4.単位未満は切り捨てとする。</t>
    <rPh sb="2" eb="4">
      <t>タイショウ</t>
    </rPh>
    <rPh sb="5" eb="8">
      <t>テスウリョウ</t>
    </rPh>
    <rPh sb="8" eb="11">
      <t>ジッセキチ</t>
    </rPh>
    <rPh sb="12" eb="14">
      <t>ヒヨウ</t>
    </rPh>
    <phoneticPr fontId="1"/>
  </si>
  <si>
    <t>1.対象の手数料実績値（収益）を出力する。
2.０円の場合は空欄を出力する。
3.０円ではないが、表示単位未満の場合は０を出力する。
4.単位未満は切り捨てとする。</t>
  </si>
  <si>
    <t>1.対象の前年度となる手数料実績値を出力する。
2.０円の場合は空欄を出力する。
3.０円ではないが、表示単位未満の場合は０を出力する。
4.単位未満は切り捨てとする。</t>
  </si>
  <si>
    <t>4,1</t>
    <phoneticPr fontId="1"/>
  </si>
  <si>
    <t>24058</t>
  </si>
  <si>
    <t>基幹システム再構築　会計システム外部設計</t>
  </si>
  <si>
    <t>F4110-1D</t>
    <phoneticPr fontId="1"/>
  </si>
  <si>
    <t>値は以下
・総合
・事業所計
・事業本部別
・部門別
・業種別
・部別
・予算組織別</t>
    <rPh sb="37" eb="41">
      <t>ヨサンソシキ</t>
    </rPh>
    <phoneticPr fontId="1"/>
  </si>
  <si>
    <t>予算組織別</t>
    <phoneticPr fontId="1"/>
  </si>
  <si>
    <t>5615</t>
  </si>
  <si>
    <t>5648</t>
  </si>
  <si>
    <t>畜産　</t>
    <phoneticPr fontId="1"/>
  </si>
  <si>
    <t>予算組織別</t>
  </si>
  <si>
    <t>5614</t>
  </si>
  <si>
    <t>予算組織別</t>
    <rPh sb="0" eb="4">
      <t>ヨサンソシキ</t>
    </rPh>
    <rPh sb="4" eb="5">
      <t>ベツ</t>
    </rPh>
    <phoneticPr fontId="1"/>
  </si>
  <si>
    <t>予算組織別</t>
    <rPh sb="0" eb="5">
      <t>ヨサンソシキベツ</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</si>
</sst>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_ ;[Red]\-0\ "/>
    <numFmt numFmtId="177" formatCode="0.0"/>
  </numFmts>
  <fonts count="23">
    <font>
      <sz val="11"/>
      <name val="ＭＳ Ｐゴシック"/>
      <family val="3"/>
      <charset val="128"/>
    </font>
    <font>
      <sz val="6"/>
      <name val="ＭＳ Ｐゴシック"/>
      <family val="3"/>
      <charset val="128"/>
    </font>
    <font>
      <sz val="12"/>
      <name val="ＭＳ 明朝"/>
      <family val="1"/>
      <charset val="128"/>
    </font>
    <font>
      <b/>
      <sz val="14"/>
      <name val="ＭＳ 明朝"/>
      <family val="1"/>
      <charset val="128"/>
    </font>
    <font>
      <sz val="14"/>
      <name val="ＭＳ 明朝"/>
      <family val="1"/>
      <charset val="128"/>
    </font>
    <font>
      <sz val="11"/>
      <name val="ＭＳ 明朝"/>
      <family val="1"/>
      <charset val="128"/>
    </font>
    <font>
      <sz val="10"/>
      <name val="ＭＳ 明朝"/>
      <family val="1"/>
      <charset val="128"/>
    </font>
    <font>
      <sz val="8"/>
      <name val="ＭＳ 明朝"/>
      <family val="1"/>
      <charset val="128"/>
    </font>
    <font>
      <sz val="9"/>
      <color indexed="81"/>
      <name val="ＭＳ Ｐゴシック"/>
      <family val="3"/>
      <charset val="128"/>
    </font>
    <font>
      <b/>
      <sz val="9"/>
      <color indexed="81"/>
      <name val="ＭＳ Ｐゴシック"/>
      <family val="3"/>
      <charset val="128"/>
    </font>
    <font>
      <sz val="9"/>
      <color indexed="81"/>
      <name val="メイリオ"/>
      <family val="3"/>
      <charset val="128"/>
    </font>
    <font>
      <sz val="9"/>
      <color indexed="81"/>
      <name val="MS P ゴシック"/>
      <family val="3"/>
      <charset val="128"/>
    </font>
    <font>
      <b/>
      <sz val="9"/>
      <color indexed="81"/>
      <name val="MS P ゴシック"/>
      <family val="3"/>
      <charset val="128"/>
    </font>
    <font>
      <b/>
      <sz val="9"/>
      <color indexed="81"/>
      <name val="ＭＳ 明朝"/>
      <family val="1"/>
      <charset val="128"/>
    </font>
    <font>
      <sz val="9"/>
      <color indexed="81"/>
      <name val="ＭＳ 明朝"/>
      <family val="1"/>
      <charset val="128"/>
    </font>
    <font>
      <sz val="11"/>
      <name val="ＭＳ Ｐゴシック"/>
      <family val="3"/>
      <charset val="128"/>
    </font>
    <font>
      <sz val="12"/>
      <name val="ＭＳ Ｐ明朝"/>
      <family val="1"/>
      <charset val="128"/>
    </font>
    <font>
      <sz val="10"/>
      <name val="ＭＳ Ｐ明朝"/>
      <family val="1"/>
      <charset val="128"/>
    </font>
    <font>
      <sz val="12"/>
      <name val="ＭＳ Ｐゴシック"/>
      <family val="3"/>
      <charset val="128"/>
    </font>
    <font>
      <sz val="9"/>
      <name val="ＭＳ 明朝"/>
      <family val="1"/>
      <charset val="128"/>
    </font>
    <font>
      <sz val="6"/>
      <name val="ＭＳ Ｐ明朝"/>
      <family val="1"/>
      <charset val="128"/>
    </font>
    <font>
      <b/>
      <sz val="14"/>
      <name val="ＭＳ Ｐゴシック"/>
      <family val="3"/>
      <charset val="128"/>
    </font>
    <font>
      <b/>
      <sz val="11"/>
      <name val="ＭＳ Ｐゴシック"/>
      <family val="3"/>
      <charset val="128"/>
    </font>
  </fonts>
  <fills count="6">
    <fill>
      <patternFill patternType="none"/>
    </fill>
    <fill>
      <patternFill patternType="gray125"/>
    </fill>
    <fill>
      <patternFill patternType="solid">
        <fgColor theme="6" tint="0.79998168889431442"/>
        <bgColor indexed="64"/>
      </patternFill>
    </fill>
    <fill>
      <patternFill patternType="solid">
        <fgColor theme="4" tint="0.79998168889431442"/>
        <bgColor indexed="64"/>
      </patternFill>
    </fill>
    <fill>
      <patternFill patternType="solid">
        <fgColor theme="0"/>
        <bgColor indexed="64"/>
      </patternFill>
    </fill>
    <fill>
      <patternFill patternType="solid">
        <fgColor theme="0" tint="-0.14999847407452621"/>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hair">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thin">
        <color indexed="64"/>
      </right>
      <top/>
      <bottom style="thin">
        <color indexed="64"/>
      </bottom>
      <diagonal/>
    </border>
  </borders>
  <cellStyleXfs count="6">
    <xf numFmtId="0" fontId="0" fillId="0" borderId="0"/>
    <xf numFmtId="0" fontId="15" fillId="0" borderId="0"/>
    <xf numFmtId="0" fontId="15" fillId="0" borderId="0">
      <alignment vertical="center"/>
    </xf>
    <xf numFmtId="38" fontId="15" fillId="0" borderId="0" applyFont="0" applyFill="0" applyBorder="0" applyAlignment="0" applyProtection="0">
      <alignment vertical="center"/>
    </xf>
    <xf numFmtId="0" fontId="15" fillId="0" borderId="0">
      <alignment vertical="center"/>
    </xf>
    <xf numFmtId="0" fontId="15" fillId="0" borderId="0">
      <alignment vertical="center"/>
    </xf>
  </cellStyleXfs>
  <cellXfs count="208">
    <xf numFmtId="0" fontId="0" fillId="0" borderId="0" xfId="0"/>
    <xf numFmtId="49" fontId="2" fillId="0" borderId="0" xfId="0" applyNumberFormat="1" applyFont="1" applyAlignment="1">
      <alignment vertical="center"/>
    </xf>
    <xf numFmtId="49" fontId="2" fillId="0" borderId="0" xfId="0" applyNumberFormat="1" applyFont="1" applyAlignment="1">
      <alignment horizontal="right" vertical="center"/>
    </xf>
    <xf numFmtId="49" fontId="4" fillId="0" borderId="0" xfId="0" applyNumberFormat="1" applyFont="1" applyAlignment="1">
      <alignment vertical="center"/>
    </xf>
    <xf numFmtId="0" fontId="5" fillId="0" borderId="0" xfId="0" applyFont="1"/>
    <xf numFmtId="0" fontId="7" fillId="0" borderId="0" xfId="0" applyFont="1"/>
    <xf numFmtId="49" fontId="16" fillId="0" borderId="0" xfId="1" applyNumberFormat="1" applyFont="1" applyAlignment="1">
      <alignment vertical="center"/>
    </xf>
    <xf numFmtId="49" fontId="6" fillId="0" borderId="0" xfId="0" applyNumberFormat="1" applyFont="1" applyAlignment="1">
      <alignment vertical="center"/>
    </xf>
    <xf numFmtId="49" fontId="2" fillId="0" borderId="0" xfId="0" applyNumberFormat="1" applyFont="1" applyAlignment="1">
      <alignment horizontal="left" vertical="center"/>
    </xf>
    <xf numFmtId="49" fontId="17" fillId="0" borderId="0" xfId="1" applyNumberFormat="1" applyFont="1" applyAlignment="1">
      <alignment horizontal="left" vertical="center"/>
    </xf>
    <xf numFmtId="49" fontId="17" fillId="0" borderId="0" xfId="1" applyNumberFormat="1" applyFont="1" applyAlignment="1">
      <alignment vertical="center"/>
    </xf>
    <xf numFmtId="49" fontId="16" fillId="0" borderId="0" xfId="1" applyNumberFormat="1" applyFont="1" applyAlignment="1">
      <alignment horizontal="left" vertical="center"/>
    </xf>
    <xf numFmtId="0" fontId="18" fillId="0" borderId="0" xfId="0" applyFont="1"/>
    <xf numFmtId="0" fontId="2" fillId="0" borderId="0" xfId="0" applyFont="1" applyAlignment="1">
      <alignment vertical="center"/>
    </xf>
    <xf numFmtId="49" fontId="2" fillId="0" borderId="0" xfId="1" applyNumberFormat="1" applyFont="1" applyAlignment="1">
      <alignment vertical="center"/>
    </xf>
    <xf numFmtId="49" fontId="6" fillId="0" borderId="0" xfId="1" applyNumberFormat="1" applyFont="1" applyAlignment="1">
      <alignment vertical="center"/>
    </xf>
    <xf numFmtId="49" fontId="2" fillId="0" borderId="4" xfId="1" applyNumberFormat="1" applyFont="1" applyBorder="1"/>
    <xf numFmtId="49" fontId="2" fillId="0" borderId="2" xfId="1" applyNumberFormat="1" applyFont="1" applyBorder="1"/>
    <xf numFmtId="49" fontId="2" fillId="0" borderId="3" xfId="1" applyNumberFormat="1" applyFont="1" applyBorder="1"/>
    <xf numFmtId="49" fontId="2" fillId="0" borderId="0" xfId="1" applyNumberFormat="1" applyFont="1"/>
    <xf numFmtId="49" fontId="2" fillId="0" borderId="23" xfId="1" applyNumberFormat="1" applyFont="1" applyBorder="1"/>
    <xf numFmtId="49" fontId="2" fillId="0" borderId="23" xfId="1" applyNumberFormat="1" applyFont="1" applyBorder="1" applyAlignment="1">
      <alignment vertical="center"/>
    </xf>
    <xf numFmtId="49" fontId="2" fillId="0" borderId="0" xfId="1" applyNumberFormat="1" applyFont="1" applyAlignment="1">
      <alignment vertical="center" wrapText="1"/>
    </xf>
    <xf numFmtId="49" fontId="2" fillId="0" borderId="24" xfId="1" applyNumberFormat="1" applyFont="1" applyBorder="1"/>
    <xf numFmtId="49" fontId="2" fillId="0" borderId="20" xfId="1" applyNumberFormat="1" applyFont="1" applyBorder="1"/>
    <xf numFmtId="49" fontId="2" fillId="0" borderId="21" xfId="1" applyNumberFormat="1" applyFont="1" applyBorder="1"/>
    <xf numFmtId="49" fontId="2" fillId="0" borderId="22" xfId="1" applyNumberFormat="1" applyFont="1" applyBorder="1"/>
    <xf numFmtId="49" fontId="6" fillId="0" borderId="0" xfId="1" applyNumberFormat="1" applyFont="1"/>
    <xf numFmtId="0" fontId="19" fillId="0" borderId="0" xfId="0" applyFont="1"/>
    <xf numFmtId="0" fontId="2" fillId="0" borderId="15" xfId="0" applyFont="1" applyBorder="1" applyAlignment="1">
      <alignment horizontal="left" vertical="center"/>
    </xf>
    <xf numFmtId="0" fontId="2" fillId="0" borderId="15" xfId="0" quotePrefix="1" applyFont="1" applyBorder="1" applyAlignment="1">
      <alignment horizontal="left" vertical="center"/>
    </xf>
    <xf numFmtId="0" fontId="2" fillId="0" borderId="14" xfId="0" quotePrefix="1" applyFont="1" applyBorder="1" applyAlignment="1">
      <alignment horizontal="left" vertical="center"/>
    </xf>
    <xf numFmtId="0" fontId="2" fillId="0" borderId="4" xfId="0" applyFont="1" applyBorder="1" applyAlignment="1">
      <alignment vertical="center"/>
    </xf>
    <xf numFmtId="0" fontId="2" fillId="0" borderId="2" xfId="0" applyFont="1" applyBorder="1" applyAlignment="1">
      <alignment vertical="center"/>
    </xf>
    <xf numFmtId="0" fontId="2" fillId="0" borderId="13" xfId="0" quotePrefix="1" applyFont="1" applyBorder="1" applyAlignment="1">
      <alignment horizontal="left" vertical="center"/>
    </xf>
    <xf numFmtId="49" fontId="5" fillId="0" borderId="1" xfId="4" applyNumberFormat="1" applyFont="1" applyBorder="1" applyAlignment="1">
      <alignment horizontal="center" vertical="center" wrapText="1"/>
    </xf>
    <xf numFmtId="0" fontId="5" fillId="0" borderId="1" xfId="4" applyFont="1" applyBorder="1" applyAlignment="1">
      <alignment horizontal="center" vertical="center"/>
    </xf>
    <xf numFmtId="49" fontId="5" fillId="0" borderId="1" xfId="2" applyNumberFormat="1" applyFont="1" applyBorder="1" applyAlignment="1">
      <alignment horizontal="center" vertical="center" wrapText="1"/>
    </xf>
    <xf numFmtId="49" fontId="0" fillId="4" borderId="2" xfId="4" applyNumberFormat="1" applyFont="1" applyFill="1" applyBorder="1">
      <alignment vertical="center"/>
    </xf>
    <xf numFmtId="49" fontId="0" fillId="4" borderId="2" xfId="4" applyNumberFormat="1" applyFont="1" applyFill="1" applyBorder="1" applyAlignment="1">
      <alignment vertical="center" textRotation="255"/>
    </xf>
    <xf numFmtId="49" fontId="0" fillId="4" borderId="2" xfId="2" applyNumberFormat="1" applyFont="1" applyFill="1" applyBorder="1">
      <alignment vertical="center"/>
    </xf>
    <xf numFmtId="49" fontId="0" fillId="4" borderId="2" xfId="2" applyNumberFormat="1" applyFont="1" applyFill="1" applyBorder="1" applyAlignment="1">
      <alignment horizontal="center" vertical="center" textRotation="255"/>
    </xf>
    <xf numFmtId="49" fontId="5" fillId="0" borderId="0" xfId="5" applyNumberFormat="1" applyFont="1" applyAlignment="1">
      <alignment horizontal="left" vertical="center"/>
    </xf>
    <xf numFmtId="49" fontId="5" fillId="0" borderId="0" xfId="5" applyNumberFormat="1" applyFont="1" applyAlignment="1">
      <alignment horizontal="center" vertical="center"/>
    </xf>
    <xf numFmtId="49" fontId="5" fillId="0" borderId="0" xfId="5" applyNumberFormat="1" applyFont="1" applyAlignment="1">
      <alignment horizontal="center" vertical="center" wrapText="1"/>
    </xf>
    <xf numFmtId="49" fontId="0" fillId="0" borderId="0" xfId="5" applyNumberFormat="1" applyFont="1">
      <alignment vertical="center"/>
    </xf>
    <xf numFmtId="49" fontId="0" fillId="4" borderId="18" xfId="4" applyNumberFormat="1" applyFont="1" applyFill="1" applyBorder="1" applyAlignment="1">
      <alignment vertical="center" textRotation="255"/>
    </xf>
    <xf numFmtId="0" fontId="18" fillId="0" borderId="0" xfId="0" applyFont="1" applyAlignment="1">
      <alignment vertical="center"/>
    </xf>
    <xf numFmtId="0" fontId="2" fillId="0" borderId="7" xfId="0" quotePrefix="1" applyFont="1" applyBorder="1" applyAlignment="1">
      <alignment horizontal="left" vertical="center"/>
    </xf>
    <xf numFmtId="0" fontId="21" fillId="0" borderId="0" xfId="5" applyFont="1">
      <alignment vertical="center"/>
    </xf>
    <xf numFmtId="0" fontId="2" fillId="0" borderId="0" xfId="0" applyFont="1" applyAlignment="1">
      <alignment horizontal="left" vertical="center"/>
    </xf>
    <xf numFmtId="0" fontId="2" fillId="0" borderId="0" xfId="0" applyFont="1" applyAlignment="1">
      <alignment horizontal="center" vertical="center"/>
    </xf>
    <xf numFmtId="0" fontId="2" fillId="0" borderId="7" xfId="0" applyFont="1" applyBorder="1" applyAlignment="1">
      <alignment horizontal="left" vertical="center"/>
    </xf>
    <xf numFmtId="0" fontId="2" fillId="0" borderId="8" xfId="0" applyFont="1" applyBorder="1" applyAlignment="1">
      <alignment horizontal="left" vertical="center"/>
    </xf>
    <xf numFmtId="0" fontId="2" fillId="0" borderId="9" xfId="0" applyFont="1" applyBorder="1" applyAlignment="1">
      <alignment horizontal="left" vertical="center"/>
    </xf>
    <xf numFmtId="0" fontId="2" fillId="0" borderId="0" xfId="5" applyFont="1">
      <alignment vertical="center"/>
    </xf>
    <xf numFmtId="0" fontId="0" fillId="0" borderId="0" xfId="5" applyFont="1">
      <alignment vertical="center"/>
    </xf>
    <xf numFmtId="0" fontId="0" fillId="0" borderId="1" xfId="2" applyFont="1" applyBorder="1" applyAlignment="1">
      <alignment horizontal="center" vertical="center"/>
    </xf>
    <xf numFmtId="0" fontId="0" fillId="0" borderId="0" xfId="2" applyFont="1" applyAlignment="1">
      <alignment horizontal="center" vertical="center"/>
    </xf>
    <xf numFmtId="0" fontId="0" fillId="3" borderId="1" xfId="0" quotePrefix="1" applyFill="1" applyBorder="1"/>
    <xf numFmtId="0" fontId="0" fillId="3" borderId="1" xfId="0" applyFill="1" applyBorder="1"/>
    <xf numFmtId="177" fontId="0" fillId="3" borderId="1" xfId="0" applyNumberFormat="1" applyFill="1" applyBorder="1"/>
    <xf numFmtId="0" fontId="0" fillId="0" borderId="0" xfId="2" applyFont="1">
      <alignment vertical="center"/>
    </xf>
    <xf numFmtId="0" fontId="0" fillId="2" borderId="1" xfId="0" quotePrefix="1" applyFill="1" applyBorder="1"/>
    <xf numFmtId="0" fontId="0" fillId="2" borderId="1" xfId="0" applyFill="1" applyBorder="1"/>
    <xf numFmtId="177" fontId="0" fillId="2" borderId="1" xfId="0" applyNumberFormat="1" applyFill="1" applyBorder="1"/>
    <xf numFmtId="49" fontId="0" fillId="0" borderId="0" xfId="5" applyNumberFormat="1" applyFont="1" applyAlignment="1">
      <alignment horizontal="centerContinuous" vertical="center"/>
    </xf>
    <xf numFmtId="177" fontId="0" fillId="2" borderId="1" xfId="0" quotePrefix="1" applyNumberFormat="1" applyFill="1" applyBorder="1"/>
    <xf numFmtId="0" fontId="0" fillId="4" borderId="2" xfId="4" applyFont="1" applyFill="1" applyBorder="1">
      <alignment vertical="center"/>
    </xf>
    <xf numFmtId="176" fontId="0" fillId="4" borderId="2" xfId="3" applyNumberFormat="1" applyFont="1" applyFill="1" applyBorder="1" applyAlignment="1">
      <alignment horizontal="right" vertical="center"/>
    </xf>
    <xf numFmtId="177" fontId="0" fillId="4" borderId="2" xfId="3" applyNumberFormat="1" applyFont="1" applyFill="1" applyBorder="1" applyAlignment="1">
      <alignment horizontal="right" vertical="center"/>
    </xf>
    <xf numFmtId="177" fontId="0" fillId="0" borderId="0" xfId="2" applyNumberFormat="1" applyFont="1">
      <alignment vertical="center"/>
    </xf>
    <xf numFmtId="177" fontId="0" fillId="3" borderId="1" xfId="0" quotePrefix="1" applyNumberFormat="1" applyFill="1" applyBorder="1"/>
    <xf numFmtId="177" fontId="0" fillId="0" borderId="0" xfId="5" applyNumberFormat="1" applyFont="1">
      <alignment vertical="center"/>
    </xf>
    <xf numFmtId="49" fontId="22" fillId="0" borderId="0" xfId="5" applyNumberFormat="1" applyFont="1">
      <alignment vertical="center"/>
    </xf>
    <xf numFmtId="49" fontId="0" fillId="0" borderId="0" xfId="2" applyNumberFormat="1" applyFont="1">
      <alignment vertical="center"/>
    </xf>
    <xf numFmtId="0" fontId="2" fillId="0" borderId="11" xfId="0" applyFont="1" applyBorder="1" applyAlignment="1">
      <alignment horizontal="left" vertical="center"/>
    </xf>
    <xf numFmtId="0" fontId="2" fillId="0" borderId="12" xfId="0" applyFont="1" applyBorder="1" applyAlignment="1">
      <alignment horizontal="left" vertical="center"/>
    </xf>
    <xf numFmtId="0" fontId="2" fillId="0" borderId="7" xfId="0" applyFont="1" applyBorder="1" applyAlignment="1">
      <alignment vertical="center"/>
    </xf>
    <xf numFmtId="0" fontId="2" fillId="0" borderId="8" xfId="0" applyFont="1" applyBorder="1" applyAlignment="1">
      <alignment vertical="center"/>
    </xf>
    <xf numFmtId="0" fontId="2" fillId="0" borderId="27" xfId="0" quotePrefix="1" applyFont="1" applyBorder="1" applyAlignment="1">
      <alignment horizontal="left" vertical="center"/>
    </xf>
    <xf numFmtId="0" fontId="2" fillId="0" borderId="28" xfId="0" applyFont="1" applyBorder="1" applyAlignment="1">
      <alignment horizontal="left" vertical="center"/>
    </xf>
    <xf numFmtId="0" fontId="2" fillId="0" borderId="29" xfId="0" applyFont="1" applyBorder="1" applyAlignment="1">
      <alignment horizontal="left" vertical="center"/>
    </xf>
    <xf numFmtId="0" fontId="2" fillId="0" borderId="10" xfId="0" quotePrefix="1" applyFont="1" applyBorder="1" applyAlignment="1">
      <alignment horizontal="left" vertical="center"/>
    </xf>
    <xf numFmtId="0" fontId="2" fillId="0" borderId="20" xfId="0" applyFont="1" applyBorder="1" applyAlignment="1">
      <alignment vertical="center"/>
    </xf>
    <xf numFmtId="0" fontId="2" fillId="0" borderId="21" xfId="0" applyFont="1" applyBorder="1" applyAlignment="1">
      <alignment vertical="center"/>
    </xf>
    <xf numFmtId="49" fontId="2" fillId="0" borderId="21" xfId="0" quotePrefix="1" applyNumberFormat="1" applyFont="1" applyBorder="1" applyAlignment="1">
      <alignment vertical="center"/>
    </xf>
    <xf numFmtId="49" fontId="2" fillId="0" borderId="22" xfId="0" quotePrefix="1" applyNumberFormat="1" applyFont="1" applyBorder="1" applyAlignment="1">
      <alignment vertical="center"/>
    </xf>
    <xf numFmtId="0" fontId="2" fillId="0" borderId="20" xfId="0" applyFont="1" applyBorder="1" applyAlignment="1">
      <alignment horizontal="left" vertical="center"/>
    </xf>
    <xf numFmtId="0" fontId="2" fillId="0" borderId="21" xfId="0" applyFont="1" applyBorder="1" applyAlignment="1">
      <alignment horizontal="left" vertical="center"/>
    </xf>
    <xf numFmtId="0" fontId="2" fillId="0" borderId="22" xfId="0" applyFont="1" applyBorder="1" applyAlignment="1">
      <alignment horizontal="left" vertical="center"/>
    </xf>
    <xf numFmtId="49" fontId="2" fillId="0" borderId="8" xfId="0" quotePrefix="1" applyNumberFormat="1" applyFont="1" applyBorder="1" applyAlignment="1">
      <alignment vertical="center"/>
    </xf>
    <xf numFmtId="49" fontId="2" fillId="0" borderId="9" xfId="0" quotePrefix="1" applyNumberFormat="1" applyFont="1" applyBorder="1" applyAlignment="1">
      <alignment vertical="center"/>
    </xf>
    <xf numFmtId="49" fontId="2" fillId="0" borderId="4" xfId="0" applyNumberFormat="1" applyFont="1" applyBorder="1" applyAlignment="1">
      <alignment horizontal="center" vertical="center"/>
    </xf>
    <xf numFmtId="49" fontId="2" fillId="0" borderId="2" xfId="0" applyNumberFormat="1" applyFont="1" applyBorder="1" applyAlignment="1">
      <alignment horizontal="center" vertical="center"/>
    </xf>
    <xf numFmtId="49" fontId="2" fillId="0" borderId="3" xfId="0" applyNumberFormat="1" applyFont="1" applyBorder="1" applyAlignment="1">
      <alignment horizontal="center" vertical="center"/>
    </xf>
    <xf numFmtId="49" fontId="2" fillId="0" borderId="4" xfId="1" applyNumberFormat="1" applyFont="1" applyBorder="1" applyAlignment="1">
      <alignment horizontal="center"/>
    </xf>
    <xf numFmtId="49" fontId="2" fillId="0" borderId="2" xfId="1" applyNumberFormat="1" applyFont="1" applyBorder="1" applyAlignment="1">
      <alignment horizontal="center"/>
    </xf>
    <xf numFmtId="49" fontId="2" fillId="0" borderId="3" xfId="1" applyNumberFormat="1" applyFont="1" applyBorder="1" applyAlignment="1">
      <alignment horizontal="center"/>
    </xf>
    <xf numFmtId="49" fontId="3" fillId="0" borderId="4" xfId="0" applyNumberFormat="1" applyFont="1" applyBorder="1" applyAlignment="1">
      <alignment horizontal="center" vertical="center"/>
    </xf>
    <xf numFmtId="49" fontId="3" fillId="0" borderId="2" xfId="0" applyNumberFormat="1" applyFont="1" applyBorder="1" applyAlignment="1">
      <alignment horizontal="center" vertical="center"/>
    </xf>
    <xf numFmtId="49" fontId="3" fillId="0" borderId="3" xfId="0" applyNumberFormat="1" applyFont="1" applyBorder="1" applyAlignment="1">
      <alignment horizontal="center" vertical="center"/>
    </xf>
    <xf numFmtId="49" fontId="2" fillId="0" borderId="17" xfId="0" applyNumberFormat="1" applyFont="1" applyBorder="1" applyAlignment="1">
      <alignment horizontal="center" vertical="center"/>
    </xf>
    <xf numFmtId="49" fontId="2" fillId="0" borderId="18" xfId="0" applyNumberFormat="1" applyFont="1" applyBorder="1" applyAlignment="1">
      <alignment horizontal="center" vertical="center"/>
    </xf>
    <xf numFmtId="49" fontId="2" fillId="0" borderId="19" xfId="0" applyNumberFormat="1" applyFont="1" applyBorder="1" applyAlignment="1">
      <alignment horizontal="center" vertical="center"/>
    </xf>
    <xf numFmtId="49" fontId="2" fillId="0" borderId="20" xfId="0" applyNumberFormat="1" applyFont="1" applyBorder="1" applyAlignment="1">
      <alignment horizontal="center" vertical="center"/>
    </xf>
    <xf numFmtId="49" fontId="2" fillId="0" borderId="21" xfId="0" applyNumberFormat="1" applyFont="1" applyBorder="1" applyAlignment="1">
      <alignment horizontal="center" vertical="center"/>
    </xf>
    <xf numFmtId="49" fontId="2" fillId="0" borderId="22" xfId="0" applyNumberFormat="1" applyFont="1" applyBorder="1" applyAlignment="1">
      <alignment horizontal="center" vertical="center"/>
    </xf>
    <xf numFmtId="49" fontId="2" fillId="0" borderId="17" xfId="0" applyNumberFormat="1" applyFont="1" applyBorder="1" applyAlignment="1">
      <alignment horizontal="left" vertical="center"/>
    </xf>
    <xf numFmtId="49" fontId="2" fillId="0" borderId="18" xfId="0" applyNumberFormat="1" applyFont="1" applyBorder="1" applyAlignment="1">
      <alignment horizontal="left" vertical="center"/>
    </xf>
    <xf numFmtId="49" fontId="2" fillId="0" borderId="19" xfId="0" applyNumberFormat="1" applyFont="1" applyBorder="1" applyAlignment="1">
      <alignment horizontal="left" vertical="center"/>
    </xf>
    <xf numFmtId="49" fontId="2" fillId="0" borderId="20" xfId="0" applyNumberFormat="1" applyFont="1" applyBorder="1" applyAlignment="1">
      <alignment horizontal="left" vertical="center"/>
    </xf>
    <xf numFmtId="49" fontId="2" fillId="0" borderId="21" xfId="0" applyNumberFormat="1" applyFont="1" applyBorder="1" applyAlignment="1">
      <alignment horizontal="left" vertical="center"/>
    </xf>
    <xf numFmtId="49" fontId="2" fillId="0" borderId="22" xfId="0" applyNumberFormat="1" applyFont="1" applyBorder="1" applyAlignment="1">
      <alignment horizontal="left" vertical="center"/>
    </xf>
    <xf numFmtId="0" fontId="2" fillId="0" borderId="26" xfId="0" applyFont="1" applyBorder="1" applyAlignment="1">
      <alignment horizontal="center" vertical="center"/>
    </xf>
    <xf numFmtId="0" fontId="2" fillId="0" borderId="26" xfId="0" applyFont="1" applyBorder="1" applyAlignment="1">
      <alignment horizontal="left" vertical="center"/>
    </xf>
    <xf numFmtId="0" fontId="2" fillId="0" borderId="6" xfId="0" applyFont="1" applyBorder="1" applyAlignment="1">
      <alignment horizontal="center" vertical="center"/>
    </xf>
    <xf numFmtId="0" fontId="2" fillId="0" borderId="10" xfId="0" applyFont="1" applyBorder="1" applyAlignment="1">
      <alignment horizontal="left" vertical="center"/>
    </xf>
    <xf numFmtId="0" fontId="2" fillId="0" borderId="11" xfId="0" applyFont="1" applyBorder="1" applyAlignment="1">
      <alignment horizontal="left" vertical="center"/>
    </xf>
    <xf numFmtId="0" fontId="2" fillId="0" borderId="12" xfId="0" applyFont="1" applyBorder="1" applyAlignment="1">
      <alignment horizontal="left" vertical="center"/>
    </xf>
    <xf numFmtId="0" fontId="2" fillId="0" borderId="10" xfId="0" applyFont="1" applyBorder="1" applyAlignment="1">
      <alignment horizontal="center" vertical="center"/>
    </xf>
    <xf numFmtId="0" fontId="2" fillId="0" borderId="11" xfId="0" applyFont="1" applyBorder="1" applyAlignment="1">
      <alignment horizontal="center" vertical="center"/>
    </xf>
    <xf numFmtId="0" fontId="2" fillId="0" borderId="12" xfId="0" applyFont="1" applyBorder="1" applyAlignment="1">
      <alignment horizontal="center" vertical="center"/>
    </xf>
    <xf numFmtId="0" fontId="2" fillId="5" borderId="4" xfId="0" applyFont="1" applyFill="1" applyBorder="1" applyAlignment="1">
      <alignment horizontal="left" vertical="center"/>
    </xf>
    <xf numFmtId="0" fontId="2" fillId="5" borderId="2" xfId="0" applyFont="1" applyFill="1" applyBorder="1" applyAlignment="1">
      <alignment horizontal="left" vertical="center"/>
    </xf>
    <xf numFmtId="0" fontId="2" fillId="5" borderId="3" xfId="0" applyFont="1" applyFill="1" applyBorder="1" applyAlignment="1">
      <alignment horizontal="left" vertical="center"/>
    </xf>
    <xf numFmtId="0" fontId="2" fillId="0" borderId="1" xfId="0" applyFont="1" applyBorder="1" applyAlignment="1">
      <alignment horizontal="center" vertical="center"/>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5" xfId="0" applyFont="1" applyBorder="1" applyAlignment="1">
      <alignment horizontal="center" vertical="center"/>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7" xfId="0" applyFont="1" applyBorder="1" applyAlignment="1">
      <alignment horizontal="left" vertical="center"/>
    </xf>
    <xf numFmtId="0" fontId="2" fillId="0" borderId="8" xfId="0" applyFont="1" applyBorder="1" applyAlignment="1">
      <alignment horizontal="left" vertical="center"/>
    </xf>
    <xf numFmtId="0" fontId="2" fillId="0" borderId="9" xfId="0" applyFont="1" applyBorder="1" applyAlignment="1">
      <alignment horizontal="left" vertical="center"/>
    </xf>
    <xf numFmtId="0" fontId="2" fillId="0" borderId="7" xfId="0" applyFont="1" applyBorder="1" applyAlignment="1">
      <alignment vertical="center"/>
    </xf>
    <xf numFmtId="0" fontId="2" fillId="0" borderId="8" xfId="0" applyFont="1" applyBorder="1" applyAlignment="1">
      <alignment vertical="center"/>
    </xf>
    <xf numFmtId="0" fontId="2" fillId="0" borderId="9"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vertical="center"/>
    </xf>
    <xf numFmtId="0" fontId="2" fillId="0" borderId="12" xfId="0" applyFont="1" applyBorder="1" applyAlignment="1">
      <alignment vertical="center"/>
    </xf>
    <xf numFmtId="0" fontId="2" fillId="0" borderId="27" xfId="0" applyFont="1" applyBorder="1" applyAlignment="1">
      <alignment horizontal="center" vertical="center"/>
    </xf>
    <xf numFmtId="0" fontId="2" fillId="0" borderId="28" xfId="0" applyFont="1" applyBorder="1" applyAlignment="1">
      <alignment horizontal="center" vertical="center"/>
    </xf>
    <xf numFmtId="0" fontId="2" fillId="0" borderId="29" xfId="0" applyFont="1" applyBorder="1" applyAlignment="1">
      <alignment horizontal="center" vertical="center"/>
    </xf>
    <xf numFmtId="0" fontId="2" fillId="0" borderId="27" xfId="0" applyFont="1" applyBorder="1" applyAlignment="1">
      <alignment horizontal="left" vertical="center" wrapText="1"/>
    </xf>
    <xf numFmtId="0" fontId="2" fillId="0" borderId="28" xfId="0" applyFont="1" applyBorder="1" applyAlignment="1">
      <alignment horizontal="left" vertical="center" wrapText="1"/>
    </xf>
    <xf numFmtId="0" fontId="2" fillId="0" borderId="29" xfId="0" applyFont="1" applyBorder="1" applyAlignment="1">
      <alignment horizontal="left" vertical="center" wrapText="1"/>
    </xf>
    <xf numFmtId="0" fontId="2" fillId="0" borderId="10" xfId="0" applyFont="1" applyBorder="1" applyAlignment="1">
      <alignment horizontal="left" vertical="center" wrapText="1"/>
    </xf>
    <xf numFmtId="0" fontId="2" fillId="0" borderId="11" xfId="0" applyFont="1" applyBorder="1" applyAlignment="1">
      <alignment horizontal="left" vertical="center" wrapText="1"/>
    </xf>
    <xf numFmtId="0" fontId="2" fillId="0" borderId="12" xfId="0" applyFont="1" applyBorder="1" applyAlignment="1">
      <alignment horizontal="left" vertical="center" wrapText="1"/>
    </xf>
    <xf numFmtId="0" fontId="2" fillId="0" borderId="27" xfId="0" applyFont="1" applyBorder="1" applyAlignment="1">
      <alignment vertical="center"/>
    </xf>
    <xf numFmtId="0" fontId="2" fillId="0" borderId="28" xfId="0" applyFont="1" applyBorder="1" applyAlignment="1">
      <alignment vertical="center"/>
    </xf>
    <xf numFmtId="0" fontId="2" fillId="0" borderId="29" xfId="0" applyFont="1" applyBorder="1" applyAlignment="1">
      <alignment vertical="center"/>
    </xf>
    <xf numFmtId="0" fontId="2" fillId="0" borderId="4" xfId="0" applyFont="1" applyBorder="1" applyAlignment="1">
      <alignment horizontal="center" vertical="center"/>
    </xf>
    <xf numFmtId="0" fontId="2" fillId="0" borderId="3" xfId="0" applyFont="1" applyBorder="1" applyAlignment="1">
      <alignment horizontal="center" vertical="center"/>
    </xf>
    <xf numFmtId="0" fontId="2" fillId="0" borderId="2" xfId="0" applyFont="1" applyBorder="1" applyAlignment="1">
      <alignment horizontal="center" vertical="center"/>
    </xf>
    <xf numFmtId="0" fontId="2" fillId="0" borderId="13" xfId="0" applyFont="1" applyBorder="1" applyAlignment="1">
      <alignment horizontal="center" vertical="center"/>
    </xf>
    <xf numFmtId="0" fontId="2" fillId="0" borderId="15" xfId="0" applyFont="1" applyBorder="1" applyAlignment="1">
      <alignment horizontal="center" vertical="center"/>
    </xf>
    <xf numFmtId="0" fontId="2" fillId="0" borderId="14" xfId="0" applyFont="1" applyBorder="1" applyAlignment="1">
      <alignment horizontal="center" vertical="center"/>
    </xf>
    <xf numFmtId="0" fontId="2" fillId="0" borderId="1" xfId="0" applyFont="1" applyBorder="1" applyAlignment="1">
      <alignment horizontal="left" vertical="center"/>
    </xf>
    <xf numFmtId="0" fontId="2" fillId="0" borderId="7" xfId="0" quotePrefix="1" applyFont="1" applyBorder="1" applyAlignment="1">
      <alignment horizontal="left" vertical="center" wrapText="1"/>
    </xf>
    <xf numFmtId="0" fontId="2" fillId="0" borderId="4"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25" xfId="0" applyFont="1" applyBorder="1" applyAlignment="1">
      <alignment horizontal="center" vertical="center"/>
    </xf>
    <xf numFmtId="0" fontId="2" fillId="0" borderId="13" xfId="0" quotePrefix="1" applyFont="1" applyBorder="1" applyAlignment="1">
      <alignment horizontal="left" vertical="center" wrapText="1"/>
    </xf>
    <xf numFmtId="0" fontId="2" fillId="0" borderId="15" xfId="0" quotePrefix="1" applyFont="1" applyBorder="1" applyAlignment="1">
      <alignment horizontal="left" vertical="center" wrapText="1"/>
    </xf>
    <xf numFmtId="0" fontId="2" fillId="0" borderId="14" xfId="0" quotePrefix="1" applyFont="1" applyBorder="1" applyAlignment="1">
      <alignment horizontal="left" vertical="center" wrapText="1"/>
    </xf>
    <xf numFmtId="0" fontId="2" fillId="0" borderId="13" xfId="0" applyFont="1" applyBorder="1" applyAlignment="1">
      <alignment vertical="center"/>
    </xf>
    <xf numFmtId="0" fontId="2" fillId="0" borderId="15" xfId="0" applyFont="1" applyBorder="1" applyAlignment="1">
      <alignment vertical="center"/>
    </xf>
    <xf numFmtId="0" fontId="2" fillId="0" borderId="14" xfId="0" applyFont="1" applyBorder="1" applyAlignment="1">
      <alignment vertical="center"/>
    </xf>
    <xf numFmtId="0" fontId="2" fillId="0" borderId="16" xfId="0" applyFont="1" applyBorder="1" applyAlignment="1">
      <alignment horizontal="center" vertical="center"/>
    </xf>
    <xf numFmtId="0" fontId="2" fillId="0" borderId="30" xfId="0" applyFont="1" applyBorder="1" applyAlignment="1">
      <alignment horizontal="center" vertical="center"/>
    </xf>
    <xf numFmtId="0" fontId="2" fillId="0" borderId="20" xfId="0" applyFont="1" applyBorder="1" applyAlignment="1">
      <alignment horizontal="center" vertical="center"/>
    </xf>
    <xf numFmtId="0" fontId="2" fillId="0" borderId="21" xfId="0" applyFont="1" applyBorder="1" applyAlignment="1">
      <alignment horizontal="center" vertical="center"/>
    </xf>
    <xf numFmtId="0" fontId="2" fillId="0" borderId="22" xfId="0" applyFont="1" applyBorder="1" applyAlignment="1">
      <alignment horizontal="center" vertical="center"/>
    </xf>
    <xf numFmtId="49" fontId="2" fillId="0" borderId="4" xfId="0" applyNumberFormat="1" applyFont="1" applyBorder="1" applyAlignment="1">
      <alignment horizontal="center" vertical="center" wrapText="1"/>
    </xf>
    <xf numFmtId="49" fontId="2" fillId="0" borderId="2" xfId="0" applyNumberFormat="1" applyFont="1" applyBorder="1" applyAlignment="1">
      <alignment horizontal="center" vertical="center" wrapText="1"/>
    </xf>
    <xf numFmtId="49" fontId="2" fillId="0" borderId="3" xfId="0" applyNumberFormat="1" applyFont="1" applyBorder="1" applyAlignment="1">
      <alignment horizontal="center" vertical="center" wrapText="1"/>
    </xf>
    <xf numFmtId="49" fontId="2" fillId="0" borderId="13" xfId="0" applyNumberFormat="1" applyFont="1" applyBorder="1" applyAlignment="1">
      <alignment horizontal="center" vertical="center"/>
    </xf>
    <xf numFmtId="49" fontId="2" fillId="0" borderId="15" xfId="0" applyNumberFormat="1" applyFont="1" applyBorder="1" applyAlignment="1">
      <alignment horizontal="center" vertical="center"/>
    </xf>
    <xf numFmtId="49" fontId="2" fillId="0" borderId="14" xfId="0" applyNumberFormat="1" applyFont="1" applyBorder="1" applyAlignment="1">
      <alignment horizontal="center" vertical="center"/>
    </xf>
    <xf numFmtId="49" fontId="2" fillId="0" borderId="13" xfId="0" applyNumberFormat="1" applyFont="1" applyBorder="1" applyAlignment="1">
      <alignment horizontal="left" vertical="center" wrapText="1"/>
    </xf>
    <xf numFmtId="49" fontId="2" fillId="0" borderId="15" xfId="0" applyNumberFormat="1" applyFont="1" applyBorder="1" applyAlignment="1">
      <alignment horizontal="left" vertical="center" wrapText="1"/>
    </xf>
    <xf numFmtId="49" fontId="2" fillId="0" borderId="14" xfId="0" applyNumberFormat="1" applyFont="1" applyBorder="1" applyAlignment="1">
      <alignment horizontal="left" vertical="center" wrapText="1"/>
    </xf>
    <xf numFmtId="49" fontId="2" fillId="0" borderId="13" xfId="0" applyNumberFormat="1" applyFont="1" applyBorder="1" applyAlignment="1">
      <alignment horizontal="left" vertical="center"/>
    </xf>
    <xf numFmtId="49" fontId="2" fillId="0" borderId="15" xfId="0" applyNumberFormat="1" applyFont="1" applyBorder="1" applyAlignment="1">
      <alignment horizontal="left" vertical="center"/>
    </xf>
    <xf numFmtId="49" fontId="2" fillId="0" borderId="14" xfId="0" applyNumberFormat="1" applyFont="1" applyBorder="1" applyAlignment="1">
      <alignment horizontal="left" vertical="center"/>
    </xf>
    <xf numFmtId="49" fontId="2" fillId="0" borderId="7" xfId="0" applyNumberFormat="1" applyFont="1" applyBorder="1" applyAlignment="1">
      <alignment horizontal="left" vertical="center"/>
    </xf>
    <xf numFmtId="49" fontId="2" fillId="0" borderId="8" xfId="0" applyNumberFormat="1" applyFont="1" applyBorder="1" applyAlignment="1">
      <alignment horizontal="left" vertical="center"/>
    </xf>
    <xf numFmtId="49" fontId="2" fillId="0" borderId="9" xfId="0" applyNumberFormat="1" applyFont="1" applyBorder="1" applyAlignment="1">
      <alignment horizontal="left" vertical="center"/>
    </xf>
    <xf numFmtId="49" fontId="2" fillId="0" borderId="7" xfId="0" applyNumberFormat="1" applyFont="1" applyBorder="1" applyAlignment="1">
      <alignment horizontal="center" vertical="center"/>
    </xf>
    <xf numFmtId="49" fontId="2" fillId="0" borderId="8" xfId="0" applyNumberFormat="1" applyFont="1" applyBorder="1" applyAlignment="1">
      <alignment horizontal="center" vertical="center"/>
    </xf>
    <xf numFmtId="49" fontId="2" fillId="0" borderId="9" xfId="0" applyNumberFormat="1" applyFont="1" applyBorder="1" applyAlignment="1">
      <alignment horizontal="center" vertical="center"/>
    </xf>
    <xf numFmtId="49" fontId="2" fillId="0" borderId="7" xfId="0" applyNumberFormat="1" applyFont="1" applyBorder="1" applyAlignment="1">
      <alignment horizontal="left" vertical="center" wrapText="1"/>
    </xf>
    <xf numFmtId="49" fontId="2" fillId="0" borderId="8" xfId="0" applyNumberFormat="1" applyFont="1" applyBorder="1" applyAlignment="1">
      <alignment horizontal="left" vertical="center" wrapText="1"/>
    </xf>
    <xf numFmtId="49" fontId="2" fillId="0" borderId="9" xfId="0" applyNumberFormat="1" applyFont="1" applyBorder="1" applyAlignment="1">
      <alignment horizontal="left" vertical="center" wrapText="1"/>
    </xf>
    <xf numFmtId="49" fontId="2" fillId="0" borderId="10" xfId="0" applyNumberFormat="1" applyFont="1" applyBorder="1" applyAlignment="1">
      <alignment horizontal="left" vertical="center"/>
    </xf>
    <xf numFmtId="49" fontId="2" fillId="0" borderId="11" xfId="0" applyNumberFormat="1" applyFont="1" applyBorder="1" applyAlignment="1">
      <alignment horizontal="left" vertical="center"/>
    </xf>
    <xf numFmtId="49" fontId="2" fillId="0" borderId="12" xfId="0" applyNumberFormat="1" applyFont="1" applyBorder="1" applyAlignment="1">
      <alignment horizontal="left" vertical="center"/>
    </xf>
    <xf numFmtId="49" fontId="2" fillId="0" borderId="10" xfId="0" applyNumberFormat="1" applyFont="1" applyBorder="1" applyAlignment="1">
      <alignment horizontal="center" vertical="center"/>
    </xf>
    <xf numFmtId="49" fontId="2" fillId="0" borderId="11" xfId="0" applyNumberFormat="1" applyFont="1" applyBorder="1" applyAlignment="1">
      <alignment horizontal="center" vertical="center"/>
    </xf>
    <xf numFmtId="49" fontId="2" fillId="0" borderId="12" xfId="0" applyNumberFormat="1" applyFont="1" applyBorder="1" applyAlignment="1">
      <alignment horizontal="center" vertical="center"/>
    </xf>
    <xf numFmtId="49" fontId="2" fillId="0" borderId="10" xfId="0" applyNumberFormat="1" applyFont="1" applyBorder="1" applyAlignment="1">
      <alignment horizontal="left" vertical="center" wrapText="1"/>
    </xf>
    <xf numFmtId="49" fontId="2" fillId="0" borderId="11" xfId="0" applyNumberFormat="1" applyFont="1" applyBorder="1" applyAlignment="1">
      <alignment horizontal="left" vertical="center" wrapText="1"/>
    </xf>
    <xf numFmtId="49" fontId="2" fillId="0" borderId="12" xfId="0" applyNumberFormat="1" applyFont="1" applyBorder="1" applyAlignment="1">
      <alignment horizontal="left" vertical="center" wrapText="1"/>
    </xf>
  </cellXfs>
  <cellStyles count="6">
    <cellStyle name="桁区切り" xfId="3" builtinId="6"/>
    <cellStyle name="標準" xfId="0" builtinId="0"/>
    <cellStyle name="標準 2" xfId="1" xr:uid="{F3DA1E75-CB94-4872-A43E-FD70FF50C795}"/>
    <cellStyle name="標準 2 2" xfId="4" xr:uid="{B96690DA-9A83-4E82-89A9-13C4345A92EF}"/>
    <cellStyle name="標準 3" xfId="2" xr:uid="{B510914E-5582-4FC2-8AAD-CAD5A78C9221}"/>
    <cellStyle name="標準 5" xfId="5" xr:uid="{D0FBBEE1-2C93-4E4A-B8B2-DD2500D770E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twoCellAnchor>
    <xdr:from>
      <xdr:col>0</xdr:col>
      <xdr:colOff>224119</xdr:colOff>
      <xdr:row>2</xdr:row>
      <xdr:rowOff>21771</xdr:rowOff>
    </xdr:from>
    <xdr:to>
      <xdr:col>7</xdr:col>
      <xdr:colOff>618565</xdr:colOff>
      <xdr:row>7</xdr:row>
      <xdr:rowOff>53787</xdr:rowOff>
    </xdr:to>
    <xdr:sp macro="" textlink="">
      <xdr:nvSpPr>
        <xdr:cNvPr id="2" name="テキスト ボックス 1">
          <a:extLst>
            <a:ext uri="{FF2B5EF4-FFF2-40B4-BE49-F238E27FC236}">
              <a16:creationId xmlns:a16="http://schemas.microsoft.com/office/drawing/2014/main" id="{3E3E4CB0-1DEA-4E48-99BB-76DA778923BC}"/>
            </a:ext>
          </a:extLst>
        </xdr:cNvPr>
        <xdr:cNvSpPr txBox="1"/>
      </xdr:nvSpPr>
      <xdr:spPr>
        <a:xfrm>
          <a:off x="224119" y="1001485"/>
          <a:ext cx="6436017" cy="8484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a:t>画面の出力グループで業種別を選択した場合</a:t>
          </a:r>
        </a:p>
      </xdr:txBody>
    </xdr:sp>
    <xdr:clientData/>
  </xdr:twoCellAnchor>
  <xdr:twoCellAnchor>
    <xdr:from>
      <xdr:col>0</xdr:col>
      <xdr:colOff>0</xdr:colOff>
      <xdr:row>73</xdr:row>
      <xdr:rowOff>134471</xdr:rowOff>
    </xdr:from>
    <xdr:to>
      <xdr:col>7</xdr:col>
      <xdr:colOff>394446</xdr:colOff>
      <xdr:row>78</xdr:row>
      <xdr:rowOff>71718</xdr:rowOff>
    </xdr:to>
    <xdr:sp macro="" textlink="">
      <xdr:nvSpPr>
        <xdr:cNvPr id="4" name="テキスト ボックス 3">
          <a:extLst>
            <a:ext uri="{FF2B5EF4-FFF2-40B4-BE49-F238E27FC236}">
              <a16:creationId xmlns:a16="http://schemas.microsoft.com/office/drawing/2014/main" id="{8CF8915D-BCD6-4B4D-AE8D-DCCFACBEB361}"/>
            </a:ext>
          </a:extLst>
        </xdr:cNvPr>
        <xdr:cNvSpPr txBox="1"/>
      </xdr:nvSpPr>
      <xdr:spPr>
        <a:xfrm>
          <a:off x="0" y="12954000"/>
          <a:ext cx="6445622" cy="78889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a:t>画面の出力グループで業種別・総合・業種を選択した場合</a:t>
          </a:r>
        </a:p>
      </xdr:txBody>
    </xdr:sp>
    <xdr:clientData/>
  </xdr:twoCellAnchor>
  <xdr:twoCellAnchor>
    <xdr:from>
      <xdr:col>0</xdr:col>
      <xdr:colOff>170329</xdr:colOff>
      <xdr:row>87</xdr:row>
      <xdr:rowOff>116542</xdr:rowOff>
    </xdr:from>
    <xdr:to>
      <xdr:col>7</xdr:col>
      <xdr:colOff>564775</xdr:colOff>
      <xdr:row>92</xdr:row>
      <xdr:rowOff>53789</xdr:rowOff>
    </xdr:to>
    <xdr:sp macro="" textlink="">
      <xdr:nvSpPr>
        <xdr:cNvPr id="5" name="テキスト ボックス 4">
          <a:extLst>
            <a:ext uri="{FF2B5EF4-FFF2-40B4-BE49-F238E27FC236}">
              <a16:creationId xmlns:a16="http://schemas.microsoft.com/office/drawing/2014/main" id="{1E08EF2D-CDF8-4482-A316-07A082B54E83}"/>
            </a:ext>
          </a:extLst>
        </xdr:cNvPr>
        <xdr:cNvSpPr txBox="1"/>
      </xdr:nvSpPr>
      <xdr:spPr>
        <a:xfrm>
          <a:off x="170329" y="15652377"/>
          <a:ext cx="6445622" cy="78889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a:t>画面の出力グループで業種別・事業所・業種を選択した場合</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286870</xdr:colOff>
      <xdr:row>1</xdr:row>
      <xdr:rowOff>143436</xdr:rowOff>
    </xdr:from>
    <xdr:to>
      <xdr:col>7</xdr:col>
      <xdr:colOff>681317</xdr:colOff>
      <xdr:row>7</xdr:row>
      <xdr:rowOff>35858</xdr:rowOff>
    </xdr:to>
    <xdr:sp macro="" textlink="">
      <xdr:nvSpPr>
        <xdr:cNvPr id="2" name="テキスト ボックス 1">
          <a:extLst>
            <a:ext uri="{FF2B5EF4-FFF2-40B4-BE49-F238E27FC236}">
              <a16:creationId xmlns:a16="http://schemas.microsoft.com/office/drawing/2014/main" id="{D46978AD-BAF9-4DAC-A4A2-4AC696F10565}"/>
            </a:ext>
          </a:extLst>
        </xdr:cNvPr>
        <xdr:cNvSpPr txBox="1"/>
      </xdr:nvSpPr>
      <xdr:spPr>
        <a:xfrm>
          <a:off x="286870" y="1506071"/>
          <a:ext cx="6445623" cy="9143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a:t>画面の出力グループで組織別を選択した場合</a:t>
          </a:r>
        </a:p>
      </xdr:txBody>
    </xdr:sp>
    <xdr:clientData/>
  </xdr:twoCellAnchor>
  <xdr:twoCellAnchor>
    <xdr:from>
      <xdr:col>0</xdr:col>
      <xdr:colOff>283029</xdr:colOff>
      <xdr:row>153</xdr:row>
      <xdr:rowOff>32656</xdr:rowOff>
    </xdr:from>
    <xdr:to>
      <xdr:col>7</xdr:col>
      <xdr:colOff>687080</xdr:colOff>
      <xdr:row>158</xdr:row>
      <xdr:rowOff>5122</xdr:rowOff>
    </xdr:to>
    <xdr:sp macro="" textlink="">
      <xdr:nvSpPr>
        <xdr:cNvPr id="3" name="テキスト ボックス 2">
          <a:extLst>
            <a:ext uri="{FF2B5EF4-FFF2-40B4-BE49-F238E27FC236}">
              <a16:creationId xmlns:a16="http://schemas.microsoft.com/office/drawing/2014/main" id="{BBC8F79B-AA33-4123-8AE1-369D976E437B}"/>
            </a:ext>
          </a:extLst>
        </xdr:cNvPr>
        <xdr:cNvSpPr txBox="1"/>
      </xdr:nvSpPr>
      <xdr:spPr>
        <a:xfrm>
          <a:off x="283029" y="26223685"/>
          <a:ext cx="6445622" cy="78889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a:t>画面の出力グループで組織別・総合・所属（課）を選択した場合</a:t>
          </a:r>
        </a:p>
      </xdr:txBody>
    </xdr:sp>
    <xdr:clientData/>
  </xdr:twoCellAnchor>
  <xdr:twoCellAnchor>
    <xdr:from>
      <xdr:col>0</xdr:col>
      <xdr:colOff>108857</xdr:colOff>
      <xdr:row>164</xdr:row>
      <xdr:rowOff>65315</xdr:rowOff>
    </xdr:from>
    <xdr:to>
      <xdr:col>7</xdr:col>
      <xdr:colOff>512908</xdr:colOff>
      <xdr:row>169</xdr:row>
      <xdr:rowOff>37780</xdr:rowOff>
    </xdr:to>
    <xdr:sp macro="" textlink="">
      <xdr:nvSpPr>
        <xdr:cNvPr id="6" name="テキスト ボックス 5">
          <a:extLst>
            <a:ext uri="{FF2B5EF4-FFF2-40B4-BE49-F238E27FC236}">
              <a16:creationId xmlns:a16="http://schemas.microsoft.com/office/drawing/2014/main" id="{C784C877-1B85-4A08-8B96-B1513A50347A}"/>
            </a:ext>
          </a:extLst>
        </xdr:cNvPr>
        <xdr:cNvSpPr txBox="1"/>
      </xdr:nvSpPr>
      <xdr:spPr>
        <a:xfrm>
          <a:off x="108857" y="28640315"/>
          <a:ext cx="6445622" cy="78889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a:t>画面の出力グループで組織別・事業所・所属（課）を選択した場合</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546847</xdr:colOff>
      <xdr:row>1</xdr:row>
      <xdr:rowOff>107576</xdr:rowOff>
    </xdr:from>
    <xdr:to>
      <xdr:col>8</xdr:col>
      <xdr:colOff>232441</xdr:colOff>
      <xdr:row>6</xdr:row>
      <xdr:rowOff>128065</xdr:rowOff>
    </xdr:to>
    <xdr:sp macro="" textlink="">
      <xdr:nvSpPr>
        <xdr:cNvPr id="2" name="テキスト ボックス 1">
          <a:extLst>
            <a:ext uri="{FF2B5EF4-FFF2-40B4-BE49-F238E27FC236}">
              <a16:creationId xmlns:a16="http://schemas.microsoft.com/office/drawing/2014/main" id="{FA8450B0-E6E0-418F-BECB-F4DACC15BCF8}"/>
            </a:ext>
          </a:extLst>
        </xdr:cNvPr>
        <xdr:cNvSpPr txBox="1"/>
      </xdr:nvSpPr>
      <xdr:spPr>
        <a:xfrm>
          <a:off x="546847" y="277905"/>
          <a:ext cx="6436018" cy="87213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a:t>画面の所属コードで施設コードを入力した場合</a:t>
          </a:r>
        </a:p>
      </xdr:txBody>
    </xdr:sp>
    <xdr:clientData/>
  </xdr:twoCellAnchor>
  <xdr:twoCellAnchor>
    <xdr:from>
      <xdr:col>0</xdr:col>
      <xdr:colOff>564777</xdr:colOff>
      <xdr:row>13</xdr:row>
      <xdr:rowOff>62753</xdr:rowOff>
    </xdr:from>
    <xdr:to>
      <xdr:col>8</xdr:col>
      <xdr:colOff>250371</xdr:colOff>
      <xdr:row>18</xdr:row>
      <xdr:rowOff>83242</xdr:rowOff>
    </xdr:to>
    <xdr:sp macro="" textlink="">
      <xdr:nvSpPr>
        <xdr:cNvPr id="3" name="テキスト ボックス 2">
          <a:extLst>
            <a:ext uri="{FF2B5EF4-FFF2-40B4-BE49-F238E27FC236}">
              <a16:creationId xmlns:a16="http://schemas.microsoft.com/office/drawing/2014/main" id="{5D3F07BF-4FF8-43C4-B459-BE17D048D8C2}"/>
            </a:ext>
          </a:extLst>
        </xdr:cNvPr>
        <xdr:cNvSpPr txBox="1"/>
      </xdr:nvSpPr>
      <xdr:spPr>
        <a:xfrm>
          <a:off x="564777" y="4096871"/>
          <a:ext cx="6436018" cy="87213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a:t>画面の会計情報品名で会計情報品名コードを入力した場合</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5DC846-E06B-48DF-A97F-AE3D1ACD0EEE}">
  <sheetPr codeName="Sheet1">
    <pageSetUpPr fitToPage="1"/>
  </sheetPr>
  <dimension ref="A1:BJ508"/>
  <sheetViews>
    <sheetView tabSelected="1" view="pageBreakPreview" zoomScaleNormal="100" zoomScaleSheetLayoutView="100" workbookViewId="0"/>
  </sheetViews>
  <sheetFormatPr defaultColWidth="9" defaultRowHeight="12"/>
  <cols>
    <col min="1" max="62" width="2.109375" style="27" customWidth="1"/>
    <col min="63" max="159" width="1.6640625" style="27" customWidth="1"/>
    <col min="160" max="16384" width="9" style="27"/>
  </cols>
  <sheetData>
    <row r="1" spans="1:62" s="1" customFormat="1" ht="18" customHeight="1">
      <c r="A1" s="1" t="s">
        <v>0</v>
      </c>
      <c r="BJ1" s="2" t="s">
        <v>1</v>
      </c>
    </row>
    <row r="2" spans="1:62" s="3" customFormat="1" ht="18" customHeight="1">
      <c r="A2" s="99" t="s">
        <v>2</v>
      </c>
      <c r="B2" s="100"/>
      <c r="C2" s="100"/>
      <c r="D2" s="100"/>
      <c r="E2" s="100"/>
      <c r="F2" s="100"/>
      <c r="G2" s="100"/>
      <c r="H2" s="100"/>
      <c r="I2" s="100"/>
      <c r="J2" s="100"/>
      <c r="K2" s="100"/>
      <c r="L2" s="100"/>
      <c r="M2" s="100"/>
      <c r="N2" s="100"/>
      <c r="O2" s="100"/>
      <c r="P2" s="100"/>
      <c r="Q2" s="100"/>
      <c r="R2" s="100"/>
      <c r="S2" s="100"/>
      <c r="T2" s="100"/>
      <c r="U2" s="100"/>
      <c r="V2" s="100"/>
      <c r="W2" s="100"/>
      <c r="X2" s="100"/>
      <c r="Y2" s="100"/>
      <c r="Z2" s="100"/>
      <c r="AA2" s="100"/>
      <c r="AB2" s="100"/>
      <c r="AC2" s="100"/>
      <c r="AD2" s="100"/>
      <c r="AE2" s="100"/>
      <c r="AF2" s="100"/>
      <c r="AG2" s="100"/>
      <c r="AH2" s="100"/>
      <c r="AI2" s="100"/>
      <c r="AJ2" s="100"/>
      <c r="AK2" s="100"/>
      <c r="AL2" s="100"/>
      <c r="AM2" s="100"/>
      <c r="AN2" s="100"/>
      <c r="AO2" s="100"/>
      <c r="AP2" s="100"/>
      <c r="AQ2" s="100"/>
      <c r="AR2" s="100"/>
      <c r="AS2" s="101"/>
      <c r="AT2" s="93" t="s">
        <v>3</v>
      </c>
      <c r="AU2" s="94"/>
      <c r="AV2" s="94"/>
      <c r="AW2" s="94"/>
      <c r="AX2" s="95"/>
      <c r="AY2" s="93" t="s">
        <v>4</v>
      </c>
      <c r="AZ2" s="94"/>
      <c r="BA2" s="94"/>
      <c r="BB2" s="95"/>
      <c r="BC2" s="93" t="s">
        <v>5</v>
      </c>
      <c r="BD2" s="94"/>
      <c r="BE2" s="94"/>
      <c r="BF2" s="95"/>
      <c r="BG2" s="93"/>
      <c r="BH2" s="94"/>
      <c r="BI2" s="94"/>
      <c r="BJ2" s="95"/>
    </row>
    <row r="3" spans="1:62" s="1" customFormat="1" ht="18" customHeight="1">
      <c r="A3" s="102" t="s">
        <v>6</v>
      </c>
      <c r="B3" s="103"/>
      <c r="C3" s="103"/>
      <c r="D3" s="103"/>
      <c r="E3" s="103"/>
      <c r="F3" s="103"/>
      <c r="G3" s="103"/>
      <c r="H3" s="104"/>
      <c r="I3" s="108" t="s">
        <v>303</v>
      </c>
      <c r="J3" s="109"/>
      <c r="K3" s="109"/>
      <c r="L3" s="109"/>
      <c r="M3" s="109"/>
      <c r="N3" s="109"/>
      <c r="O3" s="109"/>
      <c r="P3" s="109"/>
      <c r="Q3" s="109"/>
      <c r="R3" s="109"/>
      <c r="S3" s="109"/>
      <c r="T3" s="109"/>
      <c r="U3" s="109"/>
      <c r="V3" s="109"/>
      <c r="W3" s="109"/>
      <c r="X3" s="109"/>
      <c r="Y3" s="109"/>
      <c r="Z3" s="109"/>
      <c r="AA3" s="109"/>
      <c r="AB3" s="109"/>
      <c r="AC3" s="109"/>
      <c r="AD3" s="109"/>
      <c r="AE3" s="109"/>
      <c r="AF3" s="109"/>
      <c r="AG3" s="109"/>
      <c r="AH3" s="109"/>
      <c r="AI3" s="109"/>
      <c r="AJ3" s="109"/>
      <c r="AK3" s="109"/>
      <c r="AL3" s="109"/>
      <c r="AM3" s="109"/>
      <c r="AN3" s="109"/>
      <c r="AO3" s="109"/>
      <c r="AP3" s="109"/>
      <c r="AQ3" s="109"/>
      <c r="AR3" s="109"/>
      <c r="AS3" s="110"/>
      <c r="AT3" s="93" t="s">
        <v>7</v>
      </c>
      <c r="AU3" s="94"/>
      <c r="AV3" s="94"/>
      <c r="AW3" s="94"/>
      <c r="AX3" s="95"/>
      <c r="AY3" s="93" t="s">
        <v>302</v>
      </c>
      <c r="AZ3" s="94"/>
      <c r="BA3" s="94"/>
      <c r="BB3" s="94"/>
      <c r="BC3" s="94"/>
      <c r="BD3" s="94"/>
      <c r="BE3" s="94"/>
      <c r="BF3" s="94"/>
      <c r="BG3" s="94"/>
      <c r="BH3" s="94"/>
      <c r="BI3" s="94"/>
      <c r="BJ3" s="95"/>
    </row>
    <row r="4" spans="1:62" s="1" customFormat="1" ht="18" customHeight="1">
      <c r="A4" s="105"/>
      <c r="B4" s="106"/>
      <c r="C4" s="106"/>
      <c r="D4" s="106"/>
      <c r="E4" s="106"/>
      <c r="F4" s="106"/>
      <c r="G4" s="106"/>
      <c r="H4" s="107"/>
      <c r="I4" s="111"/>
      <c r="J4" s="112"/>
      <c r="K4" s="112"/>
      <c r="L4" s="112"/>
      <c r="M4" s="112"/>
      <c r="N4" s="112"/>
      <c r="O4" s="112"/>
      <c r="P4" s="112"/>
      <c r="Q4" s="112"/>
      <c r="R4" s="112"/>
      <c r="S4" s="112"/>
      <c r="T4" s="112"/>
      <c r="U4" s="112"/>
      <c r="V4" s="112"/>
      <c r="W4" s="112"/>
      <c r="X4" s="112"/>
      <c r="Y4" s="112"/>
      <c r="Z4" s="112"/>
      <c r="AA4" s="112"/>
      <c r="AB4" s="112"/>
      <c r="AC4" s="112"/>
      <c r="AD4" s="112"/>
      <c r="AE4" s="112"/>
      <c r="AF4" s="112"/>
      <c r="AG4" s="112"/>
      <c r="AH4" s="112"/>
      <c r="AI4" s="112"/>
      <c r="AJ4" s="112"/>
      <c r="AK4" s="112"/>
      <c r="AL4" s="112"/>
      <c r="AM4" s="112"/>
      <c r="AN4" s="112"/>
      <c r="AO4" s="112"/>
      <c r="AP4" s="112"/>
      <c r="AQ4" s="112"/>
      <c r="AR4" s="112"/>
      <c r="AS4" s="113"/>
      <c r="AT4" s="93" t="s">
        <v>8</v>
      </c>
      <c r="AU4" s="94"/>
      <c r="AV4" s="94"/>
      <c r="AW4" s="94"/>
      <c r="AX4" s="95"/>
      <c r="AY4" s="93"/>
      <c r="AZ4" s="94"/>
      <c r="BA4" s="94"/>
      <c r="BB4" s="94"/>
      <c r="BC4" s="94"/>
      <c r="BD4" s="94"/>
      <c r="BE4" s="94"/>
      <c r="BF4" s="94"/>
      <c r="BG4" s="94"/>
      <c r="BH4" s="94"/>
      <c r="BI4" s="94"/>
      <c r="BJ4" s="95"/>
    </row>
    <row r="5" spans="1:62" s="15" customFormat="1" ht="9" customHeight="1"/>
    <row r="6" spans="1:62" s="19" customFormat="1" ht="15.75" customHeight="1">
      <c r="A6" s="96" t="s">
        <v>9</v>
      </c>
      <c r="B6" s="97"/>
      <c r="C6" s="97"/>
      <c r="D6" s="97"/>
      <c r="E6" s="97"/>
      <c r="F6" s="97"/>
      <c r="G6" s="98"/>
      <c r="H6" s="16"/>
      <c r="I6" s="17" t="s">
        <v>10</v>
      </c>
      <c r="J6" s="17"/>
      <c r="K6" s="17"/>
      <c r="L6" s="17"/>
      <c r="M6" s="17"/>
      <c r="N6" s="17"/>
      <c r="O6" s="17"/>
      <c r="P6" s="17"/>
      <c r="Q6" s="17"/>
      <c r="R6" s="17"/>
      <c r="S6" s="17"/>
      <c r="T6" s="17"/>
      <c r="U6" s="17"/>
      <c r="V6" s="17"/>
      <c r="W6" s="17"/>
      <c r="X6" s="17"/>
      <c r="Y6" s="17"/>
      <c r="Z6" s="17"/>
      <c r="AA6" s="17"/>
      <c r="AB6" s="17"/>
      <c r="AC6" s="17"/>
      <c r="AD6" s="17"/>
      <c r="AE6" s="17"/>
      <c r="AF6" s="17"/>
      <c r="AG6" s="17"/>
      <c r="AH6" s="17"/>
      <c r="AI6" s="17"/>
      <c r="AJ6" s="17"/>
      <c r="AK6" s="17"/>
      <c r="AL6" s="17"/>
      <c r="AM6" s="17"/>
      <c r="AN6" s="17"/>
      <c r="AO6" s="17"/>
      <c r="AP6" s="17"/>
      <c r="AQ6" s="17"/>
      <c r="AR6" s="17"/>
      <c r="AS6" s="17"/>
      <c r="AT6" s="17"/>
      <c r="AU6" s="17"/>
      <c r="AV6" s="17"/>
      <c r="AW6" s="17"/>
      <c r="AX6" s="17"/>
      <c r="AY6" s="17"/>
      <c r="AZ6" s="17"/>
      <c r="BA6" s="17"/>
      <c r="BB6" s="17"/>
      <c r="BC6" s="17"/>
      <c r="BD6" s="17"/>
      <c r="BE6" s="17"/>
      <c r="BF6" s="17"/>
      <c r="BG6" s="17"/>
      <c r="BH6" s="17"/>
      <c r="BI6" s="17"/>
      <c r="BJ6" s="18"/>
    </row>
    <row r="7" spans="1:62" s="19" customFormat="1" ht="20.25" customHeight="1">
      <c r="A7" s="20"/>
      <c r="C7" s="14"/>
      <c r="D7" s="14"/>
      <c r="E7" s="14"/>
      <c r="F7" s="14"/>
      <c r="G7" s="14"/>
      <c r="H7" s="21"/>
      <c r="O7" s="22"/>
      <c r="P7" s="22"/>
      <c r="Q7" s="22"/>
      <c r="R7" s="22"/>
      <c r="S7" s="22"/>
      <c r="T7" s="22"/>
      <c r="U7" s="22"/>
      <c r="V7" s="22"/>
      <c r="W7" s="22"/>
      <c r="X7" s="22"/>
      <c r="AC7" s="22"/>
      <c r="AD7" s="22"/>
      <c r="AE7" s="22"/>
      <c r="AF7" s="22"/>
      <c r="AG7" s="22"/>
      <c r="AH7" s="22"/>
      <c r="AI7" s="22"/>
      <c r="AJ7" s="22"/>
      <c r="AK7" s="22"/>
      <c r="AL7" s="22"/>
      <c r="AM7" s="22"/>
      <c r="AN7" s="22"/>
      <c r="AO7" s="22"/>
      <c r="AP7" s="22"/>
      <c r="AQ7" s="22"/>
      <c r="AR7" s="22"/>
      <c r="AS7" s="22"/>
      <c r="AT7" s="22"/>
      <c r="AU7" s="22"/>
      <c r="AV7" s="22"/>
      <c r="AW7" s="22"/>
      <c r="BJ7" s="23"/>
    </row>
    <row r="8" spans="1:62" s="19" customFormat="1" ht="20.25" customHeight="1">
      <c r="A8" s="20"/>
      <c r="B8" s="19" t="s">
        <v>320</v>
      </c>
      <c r="C8" s="14"/>
      <c r="D8" s="14"/>
      <c r="E8" s="14"/>
      <c r="F8" s="14"/>
      <c r="G8" s="14"/>
      <c r="H8" s="21"/>
      <c r="I8" s="19" t="s">
        <v>321</v>
      </c>
      <c r="O8" s="22"/>
      <c r="P8" s="22"/>
      <c r="Q8" s="22"/>
      <c r="R8" s="22"/>
      <c r="S8" s="22"/>
      <c r="T8" s="22"/>
      <c r="U8" s="22"/>
      <c r="V8" s="22"/>
      <c r="W8" s="22"/>
      <c r="X8" s="22"/>
      <c r="AC8" s="22"/>
      <c r="AD8" s="22"/>
      <c r="AE8" s="22"/>
      <c r="AF8" s="22"/>
      <c r="AG8" s="22"/>
      <c r="AH8" s="22"/>
      <c r="AI8" s="22"/>
      <c r="AJ8" s="22"/>
      <c r="AK8" s="22"/>
      <c r="AL8" s="22"/>
      <c r="AM8" s="22"/>
      <c r="AN8" s="22"/>
      <c r="AO8" s="22"/>
      <c r="AP8" s="22"/>
      <c r="AQ8" s="22"/>
      <c r="AR8" s="22"/>
      <c r="AS8" s="22"/>
      <c r="AT8" s="22"/>
      <c r="AU8" s="22"/>
      <c r="AV8" s="22"/>
      <c r="AW8" s="22"/>
      <c r="BJ8" s="23"/>
    </row>
    <row r="9" spans="1:62" s="19" customFormat="1" ht="20.25" customHeight="1">
      <c r="A9" s="20"/>
      <c r="H9" s="20"/>
      <c r="BJ9" s="23"/>
    </row>
    <row r="10" spans="1:62" s="19" customFormat="1" ht="20.25" customHeight="1">
      <c r="A10" s="20"/>
      <c r="H10" s="20"/>
      <c r="AC10" s="22"/>
      <c r="AD10" s="22"/>
      <c r="AE10" s="22"/>
      <c r="AF10" s="22"/>
      <c r="AG10" s="22"/>
      <c r="AH10" s="22"/>
      <c r="AI10" s="22"/>
      <c r="AJ10" s="22"/>
      <c r="AK10" s="22"/>
      <c r="AL10" s="22"/>
      <c r="AM10" s="22"/>
      <c r="AN10" s="22"/>
      <c r="AO10" s="22"/>
      <c r="AP10" s="22"/>
      <c r="AQ10" s="22"/>
      <c r="AR10" s="22"/>
      <c r="AS10" s="22"/>
      <c r="AT10" s="22"/>
      <c r="AU10" s="22"/>
      <c r="AV10" s="22"/>
      <c r="AW10" s="22"/>
      <c r="BJ10" s="23"/>
    </row>
    <row r="11" spans="1:62" s="19" customFormat="1" ht="20.25" customHeight="1">
      <c r="A11" s="20"/>
      <c r="H11" s="20"/>
      <c r="AC11" s="22"/>
      <c r="AD11" s="22"/>
      <c r="AE11" s="22"/>
      <c r="AF11" s="22"/>
      <c r="AG11" s="22"/>
      <c r="AH11" s="22"/>
      <c r="AI11" s="22"/>
      <c r="AJ11" s="22"/>
      <c r="AK11" s="22"/>
      <c r="AL11" s="22"/>
      <c r="AM11" s="22"/>
      <c r="AN11" s="22"/>
      <c r="AO11" s="22"/>
      <c r="AP11" s="22"/>
      <c r="AQ11" s="22"/>
      <c r="AR11" s="22"/>
      <c r="AS11" s="22"/>
      <c r="AT11" s="22"/>
      <c r="AU11" s="22"/>
      <c r="AV11" s="22"/>
      <c r="AW11" s="22"/>
      <c r="BJ11" s="23"/>
    </row>
    <row r="12" spans="1:62" s="19" customFormat="1" ht="20.25" customHeight="1">
      <c r="A12" s="20"/>
      <c r="H12" s="20"/>
      <c r="BJ12" s="23"/>
    </row>
    <row r="13" spans="1:62" s="19" customFormat="1" ht="20.25" customHeight="1">
      <c r="A13" s="20"/>
      <c r="H13" s="20"/>
      <c r="AC13" s="22"/>
      <c r="AD13" s="22"/>
      <c r="AE13" s="22"/>
      <c r="AF13" s="22"/>
      <c r="AG13" s="22"/>
      <c r="AH13" s="22"/>
      <c r="AI13" s="22"/>
      <c r="AJ13" s="22"/>
      <c r="AK13" s="22"/>
      <c r="AL13" s="22"/>
      <c r="AM13" s="22"/>
      <c r="AN13" s="22"/>
      <c r="AO13" s="22"/>
      <c r="AP13" s="22"/>
      <c r="AQ13" s="22"/>
      <c r="AR13" s="22"/>
      <c r="AS13" s="22"/>
      <c r="AT13" s="22"/>
      <c r="AU13" s="22"/>
      <c r="AV13" s="22"/>
      <c r="AW13" s="22"/>
      <c r="BJ13" s="23"/>
    </row>
    <row r="14" spans="1:62" s="19" customFormat="1" ht="20.25" customHeight="1">
      <c r="A14" s="20"/>
      <c r="H14" s="20"/>
      <c r="AC14" s="22"/>
      <c r="AD14" s="22"/>
      <c r="AE14" s="22"/>
      <c r="AF14" s="22"/>
      <c r="AG14" s="22"/>
      <c r="AH14" s="22"/>
      <c r="AI14" s="22"/>
      <c r="AJ14" s="22"/>
      <c r="AK14" s="22"/>
      <c r="AL14" s="22"/>
      <c r="AM14" s="22"/>
      <c r="AN14" s="22"/>
      <c r="AO14" s="22"/>
      <c r="AP14" s="22"/>
      <c r="AQ14" s="22"/>
      <c r="AR14" s="22"/>
      <c r="AS14" s="22"/>
      <c r="AT14" s="22"/>
      <c r="AU14" s="22"/>
      <c r="AV14" s="22"/>
      <c r="AW14" s="22"/>
      <c r="BJ14" s="23"/>
    </row>
    <row r="15" spans="1:62" s="19" customFormat="1" ht="20.25" customHeight="1">
      <c r="A15" s="20"/>
      <c r="H15" s="20"/>
      <c r="BJ15" s="23"/>
    </row>
    <row r="16" spans="1:62" s="19" customFormat="1" ht="20.25" customHeight="1">
      <c r="A16" s="20"/>
      <c r="H16" s="20"/>
      <c r="AC16" s="22"/>
      <c r="AD16" s="22"/>
      <c r="AE16" s="22"/>
      <c r="AF16" s="22"/>
      <c r="AG16" s="22"/>
      <c r="AH16" s="22"/>
      <c r="AI16" s="22"/>
      <c r="AJ16" s="22"/>
      <c r="AK16" s="22"/>
      <c r="AL16" s="22"/>
      <c r="AM16" s="22"/>
      <c r="AN16" s="22"/>
      <c r="AO16" s="22"/>
      <c r="AP16" s="22"/>
      <c r="AQ16" s="22"/>
      <c r="AR16" s="22"/>
      <c r="AS16" s="22"/>
      <c r="AT16" s="22"/>
      <c r="AU16" s="22"/>
      <c r="AV16" s="22"/>
      <c r="AW16" s="22"/>
      <c r="BJ16" s="23"/>
    </row>
    <row r="17" spans="1:62" s="19" customFormat="1" ht="20.25" customHeight="1">
      <c r="A17" s="20"/>
      <c r="H17" s="20"/>
      <c r="AC17" s="22"/>
      <c r="AD17" s="22"/>
      <c r="AE17" s="22"/>
      <c r="AF17" s="22"/>
      <c r="AG17" s="22"/>
      <c r="AH17" s="22"/>
      <c r="AI17" s="22"/>
      <c r="AJ17" s="22"/>
      <c r="AK17" s="22"/>
      <c r="AL17" s="22"/>
      <c r="AM17" s="22"/>
      <c r="AN17" s="22"/>
      <c r="AO17" s="22"/>
      <c r="AP17" s="22"/>
      <c r="AQ17" s="22"/>
      <c r="AR17" s="22"/>
      <c r="AS17" s="22"/>
      <c r="AT17" s="22"/>
      <c r="AU17" s="22"/>
      <c r="AV17" s="22"/>
      <c r="AW17" s="22"/>
      <c r="BJ17" s="23"/>
    </row>
    <row r="18" spans="1:62" s="19" customFormat="1" ht="20.25" customHeight="1">
      <c r="A18" s="20"/>
      <c r="H18" s="20"/>
      <c r="BJ18" s="23"/>
    </row>
    <row r="19" spans="1:62" s="19" customFormat="1" ht="20.25" customHeight="1">
      <c r="A19" s="20"/>
      <c r="H19" s="20"/>
      <c r="AC19" s="22"/>
      <c r="AD19" s="22"/>
      <c r="AE19" s="22"/>
      <c r="AF19" s="22"/>
      <c r="AG19" s="22"/>
      <c r="AH19" s="22"/>
      <c r="AI19" s="22"/>
      <c r="AJ19" s="22"/>
      <c r="AK19" s="22"/>
      <c r="AL19" s="22"/>
      <c r="AM19" s="22"/>
      <c r="AN19" s="22"/>
      <c r="AO19" s="22"/>
      <c r="AP19" s="22"/>
      <c r="AQ19" s="22"/>
      <c r="AR19" s="22"/>
      <c r="AS19" s="22"/>
      <c r="AT19" s="22"/>
      <c r="AU19" s="22"/>
      <c r="AV19" s="22"/>
      <c r="AW19" s="22"/>
      <c r="BJ19" s="23"/>
    </row>
    <row r="20" spans="1:62" s="19" customFormat="1" ht="20.25" customHeight="1">
      <c r="A20" s="20"/>
      <c r="H20" s="20"/>
      <c r="AC20" s="22"/>
      <c r="AD20" s="22"/>
      <c r="AE20" s="22"/>
      <c r="AF20" s="22"/>
      <c r="AG20" s="22"/>
      <c r="AH20" s="22"/>
      <c r="AI20" s="22"/>
      <c r="AJ20" s="22"/>
      <c r="AK20" s="22"/>
      <c r="AL20" s="22"/>
      <c r="AM20" s="22"/>
      <c r="AN20" s="22"/>
      <c r="AO20" s="22"/>
      <c r="AP20" s="22"/>
      <c r="AQ20" s="22"/>
      <c r="AR20" s="22"/>
      <c r="AS20" s="22"/>
      <c r="AT20" s="22"/>
      <c r="AU20" s="22"/>
      <c r="AV20" s="22"/>
      <c r="AW20" s="22"/>
      <c r="BJ20" s="23"/>
    </row>
    <row r="21" spans="1:62" s="19" customFormat="1" ht="20.25" customHeight="1">
      <c r="A21" s="20"/>
      <c r="H21" s="20"/>
      <c r="BJ21" s="23"/>
    </row>
    <row r="22" spans="1:62" s="19" customFormat="1" ht="20.25" customHeight="1">
      <c r="A22" s="20"/>
      <c r="H22" s="20"/>
      <c r="AC22" s="22"/>
      <c r="AD22" s="22"/>
      <c r="AE22" s="22"/>
      <c r="AF22" s="22"/>
      <c r="AG22" s="22"/>
      <c r="AH22" s="22"/>
      <c r="AI22" s="22"/>
      <c r="AJ22" s="22"/>
      <c r="AK22" s="22"/>
      <c r="AL22" s="22"/>
      <c r="AM22" s="22"/>
      <c r="AN22" s="22"/>
      <c r="AO22" s="22"/>
      <c r="AP22" s="22"/>
      <c r="AQ22" s="22"/>
      <c r="AR22" s="22"/>
      <c r="AS22" s="22"/>
      <c r="AT22" s="22"/>
      <c r="AU22" s="22"/>
      <c r="AV22" s="22"/>
      <c r="AW22" s="22"/>
      <c r="BJ22" s="23"/>
    </row>
    <row r="23" spans="1:62" s="19" customFormat="1" ht="20.25" customHeight="1">
      <c r="A23" s="20"/>
      <c r="H23" s="20"/>
      <c r="AC23" s="22"/>
      <c r="AD23" s="22"/>
      <c r="AE23" s="22"/>
      <c r="AF23" s="22"/>
      <c r="AG23" s="22"/>
      <c r="AH23" s="22"/>
      <c r="AI23" s="22"/>
      <c r="AJ23" s="22"/>
      <c r="AK23" s="22"/>
      <c r="AL23" s="22"/>
      <c r="AM23" s="22"/>
      <c r="AN23" s="22"/>
      <c r="AO23" s="22"/>
      <c r="AP23" s="22"/>
      <c r="AQ23" s="22"/>
      <c r="AR23" s="22"/>
      <c r="AS23" s="22"/>
      <c r="AT23" s="22"/>
      <c r="AU23" s="22"/>
      <c r="AV23" s="22"/>
      <c r="AW23" s="22"/>
      <c r="BJ23" s="23"/>
    </row>
    <row r="24" spans="1:62" s="19" customFormat="1" ht="20.25" customHeight="1">
      <c r="A24" s="20"/>
      <c r="H24" s="20"/>
      <c r="BJ24" s="23"/>
    </row>
    <row r="25" spans="1:62" s="19" customFormat="1" ht="20.25" customHeight="1">
      <c r="A25" s="20"/>
      <c r="H25" s="20"/>
      <c r="O25" s="22"/>
      <c r="P25" s="22"/>
      <c r="Q25" s="22"/>
      <c r="R25" s="22"/>
      <c r="S25" s="22"/>
      <c r="T25" s="22"/>
      <c r="U25" s="22"/>
      <c r="V25" s="22"/>
      <c r="W25" s="22"/>
      <c r="X25" s="22"/>
      <c r="AC25" s="22"/>
      <c r="AD25" s="22"/>
      <c r="AE25" s="22"/>
      <c r="AF25" s="22"/>
      <c r="AG25" s="22"/>
      <c r="AH25" s="22"/>
      <c r="AI25" s="22"/>
      <c r="AJ25" s="22"/>
      <c r="AK25" s="22"/>
      <c r="AL25" s="22"/>
      <c r="AM25" s="22"/>
      <c r="AN25" s="22"/>
      <c r="AO25" s="22"/>
      <c r="AP25" s="22"/>
      <c r="AQ25" s="22"/>
      <c r="AR25" s="22"/>
      <c r="AS25" s="22"/>
      <c r="AT25" s="22"/>
      <c r="AU25" s="22"/>
      <c r="AV25" s="22"/>
      <c r="AW25" s="22"/>
      <c r="BJ25" s="23"/>
    </row>
    <row r="26" spans="1:62" s="19" customFormat="1" ht="20.25" customHeight="1">
      <c r="A26" s="20"/>
      <c r="H26" s="20"/>
      <c r="O26" s="22"/>
      <c r="P26" s="22"/>
      <c r="Q26" s="22"/>
      <c r="R26" s="22"/>
      <c r="S26" s="22"/>
      <c r="T26" s="22"/>
      <c r="U26" s="22"/>
      <c r="V26" s="22"/>
      <c r="W26" s="22"/>
      <c r="X26" s="22"/>
      <c r="AC26" s="22"/>
      <c r="AD26" s="22"/>
      <c r="AE26" s="22"/>
      <c r="AF26" s="22"/>
      <c r="AG26" s="22"/>
      <c r="AH26" s="22"/>
      <c r="AI26" s="22"/>
      <c r="AJ26" s="22"/>
      <c r="AK26" s="22"/>
      <c r="AL26" s="22"/>
      <c r="AM26" s="22"/>
      <c r="AN26" s="22"/>
      <c r="AO26" s="22"/>
      <c r="AP26" s="22"/>
      <c r="AQ26" s="22"/>
      <c r="AR26" s="22"/>
      <c r="AS26" s="22"/>
      <c r="AT26" s="22"/>
      <c r="AU26" s="22"/>
      <c r="AV26" s="22"/>
      <c r="AW26" s="22"/>
      <c r="BJ26" s="23"/>
    </row>
    <row r="27" spans="1:62" s="19" customFormat="1" ht="20.25" customHeight="1">
      <c r="A27" s="20"/>
      <c r="H27" s="20"/>
      <c r="BJ27" s="23"/>
    </row>
    <row r="28" spans="1:62" s="19" customFormat="1" ht="20.25" customHeight="1">
      <c r="A28" s="20"/>
      <c r="H28" s="20"/>
      <c r="AC28" s="22"/>
      <c r="AD28" s="22"/>
      <c r="AE28" s="22"/>
      <c r="AF28" s="22"/>
      <c r="AG28" s="22"/>
      <c r="AH28" s="22"/>
      <c r="AI28" s="22"/>
      <c r="AJ28" s="22"/>
      <c r="AK28" s="22"/>
      <c r="AL28" s="22"/>
      <c r="AM28" s="22"/>
      <c r="AN28" s="22"/>
      <c r="AO28" s="22"/>
      <c r="AP28" s="22"/>
      <c r="AQ28" s="22"/>
      <c r="AR28" s="22"/>
      <c r="AS28" s="22"/>
      <c r="AT28" s="22"/>
      <c r="AU28" s="22"/>
      <c r="AV28" s="22"/>
      <c r="AW28" s="22"/>
      <c r="BJ28" s="23"/>
    </row>
    <row r="29" spans="1:62" s="19" customFormat="1" ht="20.25" customHeight="1">
      <c r="A29" s="20"/>
      <c r="H29" s="20"/>
      <c r="AC29" s="22"/>
      <c r="AD29" s="22"/>
      <c r="AE29" s="22"/>
      <c r="AF29" s="22"/>
      <c r="AG29" s="22"/>
      <c r="AH29" s="22"/>
      <c r="AI29" s="22"/>
      <c r="AJ29" s="22"/>
      <c r="AK29" s="22"/>
      <c r="AL29" s="22"/>
      <c r="AM29" s="22"/>
      <c r="AN29" s="22"/>
      <c r="AO29" s="22"/>
      <c r="AP29" s="22"/>
      <c r="AQ29" s="22"/>
      <c r="AR29" s="22"/>
      <c r="AS29" s="22"/>
      <c r="AT29" s="22"/>
      <c r="AU29" s="22"/>
      <c r="AV29" s="22"/>
      <c r="AW29" s="22"/>
      <c r="BJ29" s="23"/>
    </row>
    <row r="30" spans="1:62" s="19" customFormat="1" ht="20.25" customHeight="1">
      <c r="A30" s="20"/>
      <c r="H30" s="20"/>
      <c r="BJ30" s="23"/>
    </row>
    <row r="31" spans="1:62" s="19" customFormat="1" ht="20.25" customHeight="1">
      <c r="A31" s="20"/>
      <c r="H31" s="20"/>
      <c r="BJ31" s="23"/>
    </row>
    <row r="32" spans="1:62" s="19" customFormat="1" ht="20.25" customHeight="1">
      <c r="A32" s="20"/>
      <c r="H32" s="20"/>
      <c r="BJ32" s="23"/>
    </row>
    <row r="33" spans="1:62" s="19" customFormat="1" ht="20.25" customHeight="1">
      <c r="A33" s="20"/>
      <c r="H33" s="20"/>
      <c r="BJ33" s="23"/>
    </row>
    <row r="34" spans="1:62" s="19" customFormat="1" ht="20.25" customHeight="1">
      <c r="A34" s="20"/>
      <c r="H34" s="20"/>
      <c r="BJ34" s="23"/>
    </row>
    <row r="35" spans="1:62" s="19" customFormat="1" ht="20.25" customHeight="1">
      <c r="A35" s="20"/>
      <c r="H35" s="20"/>
      <c r="BJ35" s="23"/>
    </row>
    <row r="36" spans="1:62" s="19" customFormat="1" ht="20.25" customHeight="1">
      <c r="A36" s="20"/>
      <c r="H36" s="20"/>
      <c r="BJ36" s="23"/>
    </row>
    <row r="37" spans="1:62" s="19" customFormat="1" ht="20.25" customHeight="1">
      <c r="A37" s="20"/>
      <c r="H37" s="20"/>
      <c r="BJ37" s="23"/>
    </row>
    <row r="38" spans="1:62" s="19" customFormat="1" ht="20.25" customHeight="1">
      <c r="A38" s="20"/>
      <c r="H38" s="20"/>
      <c r="BJ38" s="23"/>
    </row>
    <row r="39" spans="1:62" s="19" customFormat="1" ht="20.25" customHeight="1">
      <c r="A39" s="20"/>
      <c r="H39" s="20"/>
      <c r="BJ39" s="23"/>
    </row>
    <row r="40" spans="1:62" s="19" customFormat="1" ht="20.25" customHeight="1">
      <c r="A40" s="20"/>
      <c r="H40" s="20"/>
      <c r="BJ40" s="23"/>
    </row>
    <row r="41" spans="1:62" s="19" customFormat="1" ht="20.25" customHeight="1">
      <c r="A41" s="20"/>
      <c r="H41" s="20"/>
      <c r="BJ41" s="23"/>
    </row>
    <row r="42" spans="1:62" s="19" customFormat="1" ht="20.25" customHeight="1">
      <c r="A42" s="20"/>
      <c r="H42" s="20"/>
      <c r="BJ42" s="23"/>
    </row>
    <row r="43" spans="1:62" s="19" customFormat="1" ht="20.25" customHeight="1">
      <c r="A43" s="20"/>
      <c r="H43" s="20"/>
      <c r="BJ43" s="23"/>
    </row>
    <row r="44" spans="1:62" s="19" customFormat="1" ht="20.25" customHeight="1">
      <c r="A44" s="20"/>
      <c r="H44" s="20"/>
      <c r="BJ44" s="23"/>
    </row>
    <row r="45" spans="1:62" s="19" customFormat="1" ht="20.25" customHeight="1">
      <c r="A45" s="20"/>
      <c r="H45" s="20"/>
      <c r="BJ45" s="23"/>
    </row>
    <row r="46" spans="1:62" s="19" customFormat="1" ht="20.25" customHeight="1">
      <c r="A46" s="20"/>
      <c r="H46" s="20"/>
      <c r="BJ46" s="23"/>
    </row>
    <row r="47" spans="1:62" s="19" customFormat="1" ht="20.25" customHeight="1">
      <c r="A47" s="20"/>
      <c r="H47" s="20"/>
      <c r="BJ47" s="23"/>
    </row>
    <row r="48" spans="1:62" s="19" customFormat="1" ht="20.25" customHeight="1">
      <c r="A48" s="20"/>
      <c r="H48" s="20"/>
      <c r="BJ48" s="23"/>
    </row>
    <row r="49" spans="1:62" s="19" customFormat="1" ht="20.25" customHeight="1">
      <c r="A49" s="20"/>
      <c r="H49" s="20"/>
      <c r="BJ49" s="23"/>
    </row>
    <row r="50" spans="1:62" s="19" customFormat="1" ht="20.25" customHeight="1">
      <c r="A50" s="20"/>
      <c r="H50" s="20"/>
      <c r="BJ50" s="23"/>
    </row>
    <row r="51" spans="1:62" s="19" customFormat="1" ht="20.25" customHeight="1">
      <c r="A51" s="20"/>
      <c r="H51" s="20"/>
      <c r="BJ51" s="23"/>
    </row>
    <row r="52" spans="1:62" s="19" customFormat="1" ht="20.25" customHeight="1">
      <c r="A52" s="20"/>
      <c r="H52" s="20"/>
      <c r="BJ52" s="23"/>
    </row>
    <row r="53" spans="1:62" s="19" customFormat="1" ht="20.25" customHeight="1">
      <c r="A53" s="20"/>
      <c r="H53" s="20"/>
      <c r="BJ53" s="23"/>
    </row>
    <row r="54" spans="1:62" s="19" customFormat="1" ht="20.25" customHeight="1">
      <c r="A54" s="20"/>
      <c r="H54" s="20"/>
      <c r="BJ54" s="23"/>
    </row>
    <row r="55" spans="1:62" s="19" customFormat="1" ht="20.25" customHeight="1">
      <c r="A55" s="20"/>
      <c r="H55" s="20"/>
      <c r="BJ55" s="23"/>
    </row>
    <row r="56" spans="1:62" s="19" customFormat="1" ht="20.25" customHeight="1">
      <c r="A56" s="20"/>
      <c r="H56" s="20"/>
      <c r="BJ56" s="23"/>
    </row>
    <row r="57" spans="1:62" s="19" customFormat="1" ht="20.25" customHeight="1">
      <c r="A57" s="20"/>
      <c r="H57" s="20"/>
      <c r="BJ57" s="23"/>
    </row>
    <row r="58" spans="1:62" s="19" customFormat="1" ht="20.25" customHeight="1">
      <c r="A58" s="20"/>
      <c r="H58" s="20"/>
      <c r="BJ58" s="23"/>
    </row>
    <row r="59" spans="1:62" s="19" customFormat="1" ht="20.25" customHeight="1">
      <c r="A59" s="24"/>
      <c r="B59" s="25"/>
      <c r="C59" s="25"/>
      <c r="D59" s="25"/>
      <c r="E59" s="25"/>
      <c r="F59" s="25"/>
      <c r="G59" s="25"/>
      <c r="H59" s="24"/>
      <c r="I59" s="25"/>
      <c r="J59" s="25"/>
      <c r="K59" s="25"/>
      <c r="L59" s="25"/>
      <c r="M59" s="25"/>
      <c r="N59" s="25"/>
      <c r="O59" s="25"/>
      <c r="P59" s="25"/>
      <c r="Q59" s="25"/>
      <c r="R59" s="25"/>
      <c r="S59" s="25"/>
      <c r="T59" s="25"/>
      <c r="U59" s="25"/>
      <c r="V59" s="25"/>
      <c r="W59" s="25"/>
      <c r="X59" s="25"/>
      <c r="Y59" s="25"/>
      <c r="Z59" s="25"/>
      <c r="AA59" s="25"/>
      <c r="AB59" s="25"/>
      <c r="AC59" s="25"/>
      <c r="AD59" s="25"/>
      <c r="AE59" s="25"/>
      <c r="AF59" s="25"/>
      <c r="AG59" s="25"/>
      <c r="AH59" s="25"/>
      <c r="AI59" s="25"/>
      <c r="AJ59" s="25"/>
      <c r="AK59" s="25"/>
      <c r="AL59" s="25"/>
      <c r="AM59" s="25"/>
      <c r="AN59" s="25"/>
      <c r="AO59" s="25"/>
      <c r="AP59" s="25"/>
      <c r="AQ59" s="25"/>
      <c r="AR59" s="25"/>
      <c r="AS59" s="25"/>
      <c r="AT59" s="25"/>
      <c r="AU59" s="25"/>
      <c r="AV59" s="25"/>
      <c r="AW59" s="25"/>
      <c r="AX59" s="25"/>
      <c r="AY59" s="25"/>
      <c r="AZ59" s="25"/>
      <c r="BA59" s="25"/>
      <c r="BB59" s="25"/>
      <c r="BC59" s="25"/>
      <c r="BD59" s="25"/>
      <c r="BE59" s="25"/>
      <c r="BF59" s="25"/>
      <c r="BG59" s="25"/>
      <c r="BH59" s="25"/>
      <c r="BI59" s="25"/>
      <c r="BJ59" s="26"/>
    </row>
    <row r="60" spans="1:62" ht="5.25" customHeight="1"/>
    <row r="61" spans="1:62" ht="15" customHeight="1"/>
    <row r="62" spans="1:62" ht="15" customHeight="1"/>
    <row r="63" spans="1:62" ht="15" customHeight="1"/>
    <row r="64" spans="1:62"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8" customHeight="1"/>
    <row r="80"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18" customHeight="1"/>
    <row r="267" ht="18" customHeight="1"/>
    <row r="268" ht="18"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row r="279" ht="18" customHeight="1"/>
    <row r="280" ht="18" customHeight="1"/>
    <row r="281" ht="18" customHeight="1"/>
    <row r="282" ht="18" customHeight="1"/>
    <row r="283" ht="18" customHeight="1"/>
    <row r="284" ht="18" customHeight="1"/>
    <row r="285" ht="18" customHeight="1"/>
    <row r="286" ht="18" customHeight="1"/>
    <row r="287" ht="18" customHeight="1"/>
    <row r="28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sheetData>
  <mergeCells count="12">
    <mergeCell ref="AY4:BJ4"/>
    <mergeCell ref="A6:G6"/>
    <mergeCell ref="A2:AS2"/>
    <mergeCell ref="AT2:AX2"/>
    <mergeCell ref="AY2:BB2"/>
    <mergeCell ref="BC2:BF2"/>
    <mergeCell ref="BG2:BJ2"/>
    <mergeCell ref="A3:H4"/>
    <mergeCell ref="I3:AS4"/>
    <mergeCell ref="AT3:AX3"/>
    <mergeCell ref="AY3:BJ3"/>
    <mergeCell ref="AT4:AX4"/>
  </mergeCells>
  <phoneticPr fontId="1"/>
  <pageMargins left="0.67" right="0.39" top="0.39370078740157483" bottom="0.39370078740157483" header="0.56000000000000005" footer="0.51181102362204722"/>
  <pageSetup paperSize="9" scale="71" fitToHeight="0" orientation="portrait" horizontalDpi="360" verticalDpi="360" r:id="rId1"/>
  <headerFooter>
    <oddHeader xml:space="preserve">&amp;R&amp;P     </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39043-C3B7-4D33-8D3E-A90D27B0564A}">
  <sheetPr codeName="Sheet2">
    <pageSetUpPr fitToPage="1"/>
  </sheetPr>
  <dimension ref="A1:BJ72"/>
  <sheetViews>
    <sheetView view="pageBreakPreview" zoomScaleNormal="100" zoomScaleSheetLayoutView="100" workbookViewId="0"/>
  </sheetViews>
  <sheetFormatPr defaultColWidth="2.109375" defaultRowHeight="13.2"/>
  <sheetData>
    <row r="1" spans="1:62" s="1" customFormat="1" ht="18" customHeight="1">
      <c r="A1" s="1" t="s">
        <v>0</v>
      </c>
      <c r="BJ1" s="2" t="s">
        <v>1</v>
      </c>
    </row>
    <row r="2" spans="1:62" s="3" customFormat="1" ht="18" customHeight="1">
      <c r="A2" s="99" t="s">
        <v>11</v>
      </c>
      <c r="B2" s="100"/>
      <c r="C2" s="100"/>
      <c r="D2" s="100"/>
      <c r="E2" s="100"/>
      <c r="F2" s="100"/>
      <c r="G2" s="100"/>
      <c r="H2" s="100"/>
      <c r="I2" s="100"/>
      <c r="J2" s="100"/>
      <c r="K2" s="100"/>
      <c r="L2" s="100"/>
      <c r="M2" s="100"/>
      <c r="N2" s="100"/>
      <c r="O2" s="100"/>
      <c r="P2" s="100"/>
      <c r="Q2" s="100"/>
      <c r="R2" s="100"/>
      <c r="S2" s="100"/>
      <c r="T2" s="100"/>
      <c r="U2" s="100"/>
      <c r="V2" s="100"/>
      <c r="W2" s="100"/>
      <c r="X2" s="100"/>
      <c r="Y2" s="100"/>
      <c r="Z2" s="100"/>
      <c r="AA2" s="100"/>
      <c r="AB2" s="100"/>
      <c r="AC2" s="100"/>
      <c r="AD2" s="100"/>
      <c r="AE2" s="100"/>
      <c r="AF2" s="100"/>
      <c r="AG2" s="100"/>
      <c r="AH2" s="100"/>
      <c r="AI2" s="100"/>
      <c r="AJ2" s="100"/>
      <c r="AK2" s="100"/>
      <c r="AL2" s="100"/>
      <c r="AM2" s="100"/>
      <c r="AN2" s="100"/>
      <c r="AO2" s="100"/>
      <c r="AP2" s="100"/>
      <c r="AQ2" s="100"/>
      <c r="AR2" s="100"/>
      <c r="AS2" s="101"/>
      <c r="AT2" s="93" t="s">
        <v>3</v>
      </c>
      <c r="AU2" s="94"/>
      <c r="AV2" s="94"/>
      <c r="AW2" s="94"/>
      <c r="AX2" s="95"/>
      <c r="AY2" s="93" t="s">
        <v>322</v>
      </c>
      <c r="AZ2" s="94"/>
      <c r="BA2" s="94"/>
      <c r="BB2" s="95"/>
      <c r="BC2" s="93" t="s">
        <v>5</v>
      </c>
      <c r="BD2" s="94"/>
      <c r="BE2" s="94"/>
      <c r="BF2" s="95"/>
      <c r="BG2" s="93"/>
      <c r="BH2" s="94"/>
      <c r="BI2" s="94"/>
      <c r="BJ2" s="95"/>
    </row>
    <row r="3" spans="1:62" s="1" customFormat="1" ht="18" customHeight="1">
      <c r="A3" s="102" t="s">
        <v>6</v>
      </c>
      <c r="B3" s="103"/>
      <c r="C3" s="103"/>
      <c r="D3" s="103"/>
      <c r="E3" s="103"/>
      <c r="F3" s="103"/>
      <c r="G3" s="103"/>
      <c r="H3" s="104"/>
      <c r="I3" s="108" t="s">
        <v>303</v>
      </c>
      <c r="J3" s="109"/>
      <c r="K3" s="109"/>
      <c r="L3" s="109"/>
      <c r="M3" s="109"/>
      <c r="N3" s="109"/>
      <c r="O3" s="109"/>
      <c r="P3" s="109"/>
      <c r="Q3" s="109"/>
      <c r="R3" s="109"/>
      <c r="S3" s="109"/>
      <c r="T3" s="109"/>
      <c r="U3" s="109"/>
      <c r="V3" s="109"/>
      <c r="W3" s="109"/>
      <c r="X3" s="109"/>
      <c r="Y3" s="109"/>
      <c r="Z3" s="109"/>
      <c r="AA3" s="109"/>
      <c r="AB3" s="109"/>
      <c r="AC3" s="109"/>
      <c r="AD3" s="109"/>
      <c r="AE3" s="109"/>
      <c r="AF3" s="109"/>
      <c r="AG3" s="109"/>
      <c r="AH3" s="109"/>
      <c r="AI3" s="109"/>
      <c r="AJ3" s="109"/>
      <c r="AK3" s="109"/>
      <c r="AL3" s="109"/>
      <c r="AM3" s="109"/>
      <c r="AN3" s="109"/>
      <c r="AO3" s="109"/>
      <c r="AP3" s="109"/>
      <c r="AQ3" s="109"/>
      <c r="AR3" s="109"/>
      <c r="AS3" s="110"/>
      <c r="AT3" s="93" t="s">
        <v>7</v>
      </c>
      <c r="AU3" s="94"/>
      <c r="AV3" s="94"/>
      <c r="AW3" s="94"/>
      <c r="AX3" s="95"/>
      <c r="AY3" s="93" t="s">
        <v>302</v>
      </c>
      <c r="AZ3" s="94"/>
      <c r="BA3" s="94"/>
      <c r="BB3" s="94"/>
      <c r="BC3" s="94"/>
      <c r="BD3" s="94"/>
      <c r="BE3" s="94"/>
      <c r="BF3" s="94"/>
      <c r="BG3" s="94"/>
      <c r="BH3" s="94"/>
      <c r="BI3" s="94"/>
      <c r="BJ3" s="95"/>
    </row>
    <row r="4" spans="1:62" s="1" customFormat="1" ht="18" customHeight="1">
      <c r="A4" s="105"/>
      <c r="B4" s="106"/>
      <c r="C4" s="106"/>
      <c r="D4" s="106"/>
      <c r="E4" s="106"/>
      <c r="F4" s="106"/>
      <c r="G4" s="106"/>
      <c r="H4" s="107"/>
      <c r="I4" s="111"/>
      <c r="J4" s="112"/>
      <c r="K4" s="112"/>
      <c r="L4" s="112"/>
      <c r="M4" s="112"/>
      <c r="N4" s="112"/>
      <c r="O4" s="112"/>
      <c r="P4" s="112"/>
      <c r="Q4" s="112"/>
      <c r="R4" s="112"/>
      <c r="S4" s="112"/>
      <c r="T4" s="112"/>
      <c r="U4" s="112"/>
      <c r="V4" s="112"/>
      <c r="W4" s="112"/>
      <c r="X4" s="112"/>
      <c r="Y4" s="112"/>
      <c r="Z4" s="112"/>
      <c r="AA4" s="112"/>
      <c r="AB4" s="112"/>
      <c r="AC4" s="112"/>
      <c r="AD4" s="112"/>
      <c r="AE4" s="112"/>
      <c r="AF4" s="112"/>
      <c r="AG4" s="112"/>
      <c r="AH4" s="112"/>
      <c r="AI4" s="112"/>
      <c r="AJ4" s="112"/>
      <c r="AK4" s="112"/>
      <c r="AL4" s="112"/>
      <c r="AM4" s="112"/>
      <c r="AN4" s="112"/>
      <c r="AO4" s="112"/>
      <c r="AP4" s="112"/>
      <c r="AQ4" s="112"/>
      <c r="AR4" s="112"/>
      <c r="AS4" s="113"/>
      <c r="AT4" s="93" t="s">
        <v>8</v>
      </c>
      <c r="AU4" s="94"/>
      <c r="AV4" s="94"/>
      <c r="AW4" s="94"/>
      <c r="AX4" s="95"/>
      <c r="AY4" s="93"/>
      <c r="AZ4" s="94"/>
      <c r="BA4" s="94"/>
      <c r="BB4" s="94"/>
      <c r="BC4" s="94"/>
      <c r="BD4" s="94"/>
      <c r="BE4" s="94"/>
      <c r="BF4" s="94"/>
      <c r="BG4" s="94"/>
      <c r="BH4" s="94"/>
      <c r="BI4" s="94"/>
      <c r="BJ4" s="95"/>
    </row>
    <row r="5" spans="1:62" s="12" customFormat="1" ht="6" customHeight="1"/>
    <row r="6" spans="1:62" s="13" customFormat="1" ht="20.25" customHeight="1">
      <c r="A6" s="155" t="s">
        <v>12</v>
      </c>
      <c r="B6" s="157"/>
      <c r="C6" s="157"/>
      <c r="D6" s="157"/>
      <c r="E6" s="157"/>
      <c r="F6" s="157"/>
      <c r="G6" s="157"/>
      <c r="H6" s="157"/>
      <c r="I6" s="157"/>
      <c r="J6" s="157"/>
      <c r="K6" s="156"/>
      <c r="L6" s="155" t="s">
        <v>304</v>
      </c>
      <c r="M6" s="157"/>
      <c r="N6" s="157"/>
      <c r="O6" s="157"/>
      <c r="P6" s="157"/>
      <c r="Q6" s="157"/>
      <c r="R6" s="157"/>
      <c r="S6" s="157"/>
      <c r="T6" s="157"/>
      <c r="U6" s="157"/>
      <c r="V6" s="157"/>
      <c r="W6" s="157"/>
      <c r="X6" s="157"/>
      <c r="Y6" s="157"/>
      <c r="Z6" s="157"/>
      <c r="AA6" s="156"/>
      <c r="AB6" s="155" t="s">
        <v>13</v>
      </c>
      <c r="AC6" s="157"/>
      <c r="AD6" s="157"/>
      <c r="AE6" s="157"/>
      <c r="AF6" s="157"/>
      <c r="AG6" s="157"/>
      <c r="AH6" s="157"/>
      <c r="AI6" s="157"/>
      <c r="AJ6" s="156"/>
      <c r="AK6" s="155" t="s">
        <v>32</v>
      </c>
      <c r="AL6" s="157"/>
      <c r="AM6" s="157"/>
      <c r="AN6" s="156"/>
      <c r="AO6" s="155" t="s">
        <v>14</v>
      </c>
      <c r="AP6" s="157"/>
      <c r="AQ6" s="157"/>
      <c r="AR6" s="157"/>
      <c r="AS6" s="157"/>
      <c r="AT6" s="157"/>
      <c r="AU6" s="157"/>
      <c r="AV6" s="157"/>
      <c r="AW6" s="156"/>
      <c r="AX6" s="155" t="s">
        <v>33</v>
      </c>
      <c r="AY6" s="157"/>
      <c r="AZ6" s="157"/>
      <c r="BA6" s="156"/>
      <c r="BB6" s="126" t="s">
        <v>15</v>
      </c>
      <c r="BC6" s="126"/>
      <c r="BD6" s="126"/>
      <c r="BE6" s="126"/>
      <c r="BF6" s="126">
        <f>COUNTA(D30:D531)</f>
        <v>37</v>
      </c>
      <c r="BG6" s="126"/>
      <c r="BH6" s="126"/>
      <c r="BI6" s="126"/>
      <c r="BJ6" s="126"/>
    </row>
    <row r="7" spans="1:62" s="13" customFormat="1" ht="20.25" customHeight="1">
      <c r="A7" s="155" t="s">
        <v>16</v>
      </c>
      <c r="B7" s="157"/>
      <c r="C7" s="157"/>
      <c r="D7" s="157"/>
      <c r="E7" s="157"/>
      <c r="F7" s="157"/>
      <c r="G7" s="157"/>
      <c r="H7" s="157"/>
      <c r="I7" s="157"/>
      <c r="J7" s="157"/>
      <c r="K7" s="156"/>
      <c r="L7" s="155" t="s">
        <v>98</v>
      </c>
      <c r="M7" s="157"/>
      <c r="N7" s="157"/>
      <c r="O7" s="157"/>
      <c r="P7" s="157"/>
      <c r="Q7" s="157"/>
      <c r="R7" s="157"/>
      <c r="S7" s="157"/>
      <c r="T7" s="157"/>
      <c r="U7" s="157"/>
      <c r="V7" s="157"/>
      <c r="W7" s="157"/>
      <c r="X7" s="157"/>
      <c r="Y7" s="157"/>
      <c r="Z7" s="157"/>
      <c r="AA7" s="157"/>
      <c r="AB7" s="157"/>
      <c r="AC7" s="157"/>
      <c r="AD7" s="157"/>
      <c r="AE7" s="157"/>
      <c r="AF7" s="157"/>
      <c r="AG7" s="157"/>
      <c r="AH7" s="157"/>
      <c r="AI7" s="157"/>
      <c r="AJ7" s="156"/>
      <c r="AK7" s="155" t="s">
        <v>34</v>
      </c>
      <c r="AL7" s="157"/>
      <c r="AM7" s="157"/>
      <c r="AN7" s="157"/>
      <c r="AO7" s="157"/>
      <c r="AP7" s="157"/>
      <c r="AQ7" s="157"/>
      <c r="AR7" s="156"/>
      <c r="AS7" s="155" t="s">
        <v>305</v>
      </c>
      <c r="AT7" s="157"/>
      <c r="AU7" s="157"/>
      <c r="AV7" s="157"/>
      <c r="AW7" s="157"/>
      <c r="AX7" s="156"/>
      <c r="AY7" s="32" t="s">
        <v>17</v>
      </c>
      <c r="AZ7" s="33"/>
      <c r="BA7" s="33"/>
      <c r="BB7" s="33"/>
      <c r="BC7" s="155" t="s">
        <v>35</v>
      </c>
      <c r="BD7" s="156"/>
      <c r="BE7" s="155" t="s">
        <v>18</v>
      </c>
      <c r="BF7" s="157"/>
      <c r="BG7" s="157"/>
      <c r="BH7" s="156"/>
      <c r="BI7" s="155"/>
      <c r="BJ7" s="156"/>
    </row>
    <row r="8" spans="1:62" s="13" customFormat="1" ht="12.6" customHeight="1">
      <c r="A8" s="51"/>
      <c r="B8" s="51"/>
      <c r="C8" s="51"/>
      <c r="D8" s="51"/>
      <c r="E8" s="51"/>
      <c r="F8" s="51"/>
      <c r="G8" s="51"/>
      <c r="H8" s="51"/>
      <c r="I8" s="51"/>
      <c r="J8" s="51"/>
      <c r="K8" s="51"/>
      <c r="L8" s="51"/>
      <c r="M8" s="51"/>
      <c r="N8" s="51"/>
      <c r="O8" s="51"/>
      <c r="P8" s="51"/>
      <c r="Q8" s="51"/>
      <c r="R8" s="51"/>
      <c r="S8" s="51"/>
      <c r="T8" s="51"/>
      <c r="U8" s="51"/>
      <c r="V8" s="51"/>
      <c r="W8" s="51"/>
      <c r="X8" s="51"/>
      <c r="Y8" s="51"/>
      <c r="Z8" s="51"/>
      <c r="AA8" s="51"/>
      <c r="AB8" s="51"/>
      <c r="AC8" s="51"/>
      <c r="AD8" s="51"/>
      <c r="AE8" s="51"/>
      <c r="AF8" s="51"/>
      <c r="AG8" s="51"/>
      <c r="AH8" s="51"/>
      <c r="AI8" s="51"/>
      <c r="AJ8" s="51"/>
      <c r="AK8" s="51"/>
      <c r="AL8" s="51"/>
      <c r="AM8" s="51"/>
      <c r="AN8" s="51"/>
      <c r="AO8" s="51"/>
      <c r="AP8" s="51"/>
      <c r="AQ8" s="51"/>
      <c r="AR8" s="51"/>
      <c r="AS8" s="51"/>
      <c r="AT8" s="51"/>
      <c r="AU8" s="51"/>
      <c r="AV8" s="51"/>
      <c r="AW8" s="51"/>
      <c r="AX8" s="51"/>
      <c r="BC8" s="51"/>
      <c r="BD8" s="51"/>
      <c r="BE8" s="51"/>
      <c r="BF8" s="51"/>
      <c r="BG8" s="51"/>
      <c r="BH8" s="51"/>
      <c r="BI8" s="51"/>
      <c r="BJ8" s="51"/>
    </row>
    <row r="9" spans="1:62" s="13" customFormat="1" ht="20.25" customHeight="1">
      <c r="A9" s="50" t="s">
        <v>277</v>
      </c>
      <c r="B9" s="51"/>
      <c r="C9" s="51"/>
      <c r="D9" s="51"/>
      <c r="E9" s="51"/>
      <c r="F9" s="51"/>
      <c r="G9" s="51"/>
      <c r="H9" s="51"/>
      <c r="I9" s="51"/>
      <c r="J9" s="51"/>
      <c r="K9" s="51"/>
      <c r="L9" s="51"/>
      <c r="M9" s="51"/>
      <c r="N9" s="51"/>
      <c r="O9" s="51"/>
      <c r="P9" s="51"/>
      <c r="Q9" s="51"/>
      <c r="R9" s="51"/>
      <c r="S9" s="51"/>
      <c r="T9" s="51"/>
      <c r="U9" s="51"/>
      <c r="V9" s="51"/>
      <c r="W9" s="51"/>
      <c r="X9" s="51"/>
      <c r="Y9" s="51"/>
      <c r="Z9" s="51"/>
      <c r="AA9" s="51"/>
      <c r="AB9" s="51"/>
      <c r="AC9" s="51"/>
      <c r="AD9" s="51"/>
      <c r="AE9" s="51"/>
      <c r="AF9" s="51"/>
      <c r="AG9" s="51"/>
      <c r="AH9" s="51"/>
      <c r="AI9" s="51"/>
      <c r="AJ9" s="51"/>
      <c r="AK9" s="51"/>
      <c r="AL9" s="51"/>
      <c r="AM9" s="51"/>
      <c r="AN9" s="51"/>
      <c r="AO9" s="51"/>
      <c r="AP9" s="51"/>
      <c r="AQ9" s="51"/>
      <c r="AR9" s="51"/>
      <c r="AS9" s="51"/>
      <c r="AT9" s="51"/>
      <c r="AU9" s="51"/>
      <c r="AV9" s="51"/>
      <c r="AW9" s="51"/>
      <c r="AX9" s="51"/>
      <c r="BC9" s="51"/>
      <c r="BD9" s="51"/>
      <c r="BE9" s="51"/>
      <c r="BF9" s="51"/>
      <c r="BG9" s="51"/>
      <c r="BH9" s="51"/>
      <c r="BI9" s="51"/>
      <c r="BJ9" s="51"/>
    </row>
    <row r="10" spans="1:62" s="13" customFormat="1" ht="26.25" customHeight="1">
      <c r="A10" s="126" t="s">
        <v>20</v>
      </c>
      <c r="B10" s="126"/>
      <c r="C10" s="126"/>
      <c r="D10" s="161" t="s">
        <v>278</v>
      </c>
      <c r="E10" s="161"/>
      <c r="F10" s="161"/>
      <c r="G10" s="161"/>
      <c r="H10" s="161"/>
      <c r="I10" s="161"/>
      <c r="J10" s="161"/>
      <c r="K10" s="161"/>
      <c r="L10" s="161"/>
      <c r="M10" s="161"/>
      <c r="N10" s="161"/>
      <c r="O10" s="161"/>
      <c r="P10" s="161"/>
      <c r="Q10" s="161"/>
      <c r="R10" s="161"/>
      <c r="S10" s="161"/>
      <c r="T10" s="161"/>
      <c r="U10" s="161"/>
      <c r="V10" s="161"/>
      <c r="W10" s="161"/>
      <c r="X10" s="161"/>
      <c r="Y10" s="161"/>
      <c r="Z10" s="161"/>
      <c r="AA10" s="161"/>
      <c r="AB10" s="161"/>
      <c r="AC10" s="161"/>
      <c r="AD10" s="161"/>
      <c r="AE10" s="161"/>
      <c r="AF10" s="161"/>
      <c r="AG10" s="161"/>
      <c r="AH10" s="161"/>
      <c r="AI10" s="161"/>
      <c r="AJ10" s="161"/>
      <c r="AK10" s="161"/>
      <c r="AL10" s="161"/>
      <c r="AM10" s="161"/>
      <c r="AN10" s="161"/>
      <c r="AO10" s="161"/>
      <c r="AP10" s="161"/>
      <c r="AQ10" s="161"/>
      <c r="AR10" s="161"/>
      <c r="AS10" s="126" t="s">
        <v>279</v>
      </c>
      <c r="AT10" s="126"/>
      <c r="AU10" s="126"/>
      <c r="AV10" s="126"/>
      <c r="AW10" s="126"/>
      <c r="AX10" s="126"/>
      <c r="AY10" s="126"/>
      <c r="AZ10" s="126"/>
      <c r="BA10" s="126"/>
      <c r="BB10" s="126"/>
      <c r="BC10" s="126"/>
      <c r="BD10" s="126"/>
      <c r="BE10" s="126"/>
      <c r="BF10" s="126"/>
      <c r="BG10" s="126"/>
      <c r="BH10" s="126"/>
      <c r="BI10" s="126"/>
      <c r="BJ10" s="126"/>
    </row>
    <row r="11" spans="1:62" s="13" customFormat="1" ht="26.25" customHeight="1">
      <c r="A11" s="123" t="s">
        <v>280</v>
      </c>
      <c r="B11" s="124"/>
      <c r="C11" s="124"/>
      <c r="D11" s="124"/>
      <c r="E11" s="124"/>
      <c r="F11" s="124"/>
      <c r="G11" s="124"/>
      <c r="H11" s="124"/>
      <c r="I11" s="124"/>
      <c r="J11" s="124"/>
      <c r="K11" s="124"/>
      <c r="L11" s="124"/>
      <c r="M11" s="124"/>
      <c r="N11" s="124"/>
      <c r="O11" s="124"/>
      <c r="P11" s="124"/>
      <c r="Q11" s="124"/>
      <c r="R11" s="124"/>
      <c r="S11" s="124"/>
      <c r="T11" s="124"/>
      <c r="U11" s="124"/>
      <c r="V11" s="124"/>
      <c r="W11" s="124"/>
      <c r="X11" s="124"/>
      <c r="Y11" s="124"/>
      <c r="Z11" s="124"/>
      <c r="AA11" s="124"/>
      <c r="AB11" s="124"/>
      <c r="AC11" s="124"/>
      <c r="AD11" s="124"/>
      <c r="AE11" s="124"/>
      <c r="AF11" s="124"/>
      <c r="AG11" s="124"/>
      <c r="AH11" s="124"/>
      <c r="AI11" s="124"/>
      <c r="AJ11" s="124"/>
      <c r="AK11" s="124"/>
      <c r="AL11" s="124"/>
      <c r="AM11" s="124"/>
      <c r="AN11" s="124"/>
      <c r="AO11" s="124"/>
      <c r="AP11" s="124"/>
      <c r="AQ11" s="124"/>
      <c r="AR11" s="124"/>
      <c r="AS11" s="124"/>
      <c r="AT11" s="124"/>
      <c r="AU11" s="124"/>
      <c r="AV11" s="124"/>
      <c r="AW11" s="124"/>
      <c r="AX11" s="124"/>
      <c r="AY11" s="124"/>
      <c r="AZ11" s="124"/>
      <c r="BA11" s="124"/>
      <c r="BB11" s="124"/>
      <c r="BC11" s="124"/>
      <c r="BD11" s="124"/>
      <c r="BE11" s="124"/>
      <c r="BF11" s="124"/>
      <c r="BG11" s="124"/>
      <c r="BH11" s="124"/>
      <c r="BI11" s="124"/>
      <c r="BJ11" s="125"/>
    </row>
    <row r="12" spans="1:62" s="13" customFormat="1" ht="26.25" customHeight="1">
      <c r="A12" s="114">
        <v>1</v>
      </c>
      <c r="B12" s="114"/>
      <c r="C12" s="114"/>
      <c r="D12" s="115" t="s">
        <v>290</v>
      </c>
      <c r="E12" s="115"/>
      <c r="F12" s="115"/>
      <c r="G12" s="115"/>
      <c r="H12" s="115"/>
      <c r="I12" s="115"/>
      <c r="J12" s="115"/>
      <c r="K12" s="115"/>
      <c r="L12" s="115"/>
      <c r="M12" s="115"/>
      <c r="N12" s="115"/>
      <c r="O12" s="115"/>
      <c r="P12" s="115"/>
      <c r="Q12" s="115"/>
      <c r="R12" s="115"/>
      <c r="S12" s="115"/>
      <c r="T12" s="115"/>
      <c r="U12" s="115"/>
      <c r="V12" s="115"/>
      <c r="W12" s="115"/>
      <c r="X12" s="115"/>
      <c r="Y12" s="115"/>
      <c r="Z12" s="115"/>
      <c r="AA12" s="115"/>
      <c r="AB12" s="115"/>
      <c r="AC12" s="115"/>
      <c r="AD12" s="115"/>
      <c r="AE12" s="115"/>
      <c r="AF12" s="115"/>
      <c r="AG12" s="115"/>
      <c r="AH12" s="115"/>
      <c r="AI12" s="115"/>
      <c r="AJ12" s="115"/>
      <c r="AK12" s="115"/>
      <c r="AL12" s="115"/>
      <c r="AM12" s="115"/>
      <c r="AN12" s="115"/>
      <c r="AO12" s="115"/>
      <c r="AP12" s="115"/>
      <c r="AQ12" s="115"/>
      <c r="AR12" s="115"/>
      <c r="AS12" s="114" t="s">
        <v>282</v>
      </c>
      <c r="AT12" s="114"/>
      <c r="AU12" s="114"/>
      <c r="AV12" s="114"/>
      <c r="AW12" s="114"/>
      <c r="AX12" s="114"/>
      <c r="AY12" s="114"/>
      <c r="AZ12" s="114"/>
      <c r="BA12" s="114"/>
      <c r="BB12" s="114"/>
      <c r="BC12" s="114"/>
      <c r="BD12" s="114"/>
      <c r="BE12" s="114"/>
      <c r="BF12" s="114"/>
      <c r="BG12" s="114"/>
      <c r="BH12" s="114"/>
      <c r="BI12" s="114"/>
      <c r="BJ12" s="114"/>
    </row>
    <row r="13" spans="1:62" s="13" customFormat="1" ht="26.25" customHeight="1">
      <c r="A13" s="114">
        <v>2</v>
      </c>
      <c r="B13" s="114"/>
      <c r="C13" s="114"/>
      <c r="D13" s="115" t="s">
        <v>281</v>
      </c>
      <c r="E13" s="115"/>
      <c r="F13" s="115"/>
      <c r="G13" s="115"/>
      <c r="H13" s="115"/>
      <c r="I13" s="115"/>
      <c r="J13" s="115"/>
      <c r="K13" s="115"/>
      <c r="L13" s="115"/>
      <c r="M13" s="115"/>
      <c r="N13" s="115"/>
      <c r="O13" s="115"/>
      <c r="P13" s="115"/>
      <c r="Q13" s="115"/>
      <c r="R13" s="115"/>
      <c r="S13" s="115"/>
      <c r="T13" s="115"/>
      <c r="U13" s="115"/>
      <c r="V13" s="115"/>
      <c r="W13" s="115"/>
      <c r="X13" s="115"/>
      <c r="Y13" s="115"/>
      <c r="Z13" s="115"/>
      <c r="AA13" s="115"/>
      <c r="AB13" s="115"/>
      <c r="AC13" s="115"/>
      <c r="AD13" s="115"/>
      <c r="AE13" s="115"/>
      <c r="AF13" s="115"/>
      <c r="AG13" s="115"/>
      <c r="AH13" s="115"/>
      <c r="AI13" s="115"/>
      <c r="AJ13" s="115"/>
      <c r="AK13" s="115"/>
      <c r="AL13" s="115"/>
      <c r="AM13" s="115"/>
      <c r="AN13" s="115"/>
      <c r="AO13" s="115"/>
      <c r="AP13" s="115"/>
      <c r="AQ13" s="115"/>
      <c r="AR13" s="115"/>
      <c r="AS13" s="114" t="s">
        <v>282</v>
      </c>
      <c r="AT13" s="114"/>
      <c r="AU13" s="114"/>
      <c r="AV13" s="114"/>
      <c r="AW13" s="114"/>
      <c r="AX13" s="114"/>
      <c r="AY13" s="114"/>
      <c r="AZ13" s="114"/>
      <c r="BA13" s="114"/>
      <c r="BB13" s="114"/>
      <c r="BC13" s="114"/>
      <c r="BD13" s="114"/>
      <c r="BE13" s="114"/>
      <c r="BF13" s="114"/>
      <c r="BG13" s="114"/>
      <c r="BH13" s="114"/>
      <c r="BI13" s="114"/>
      <c r="BJ13" s="114"/>
    </row>
    <row r="14" spans="1:62" s="13" customFormat="1" ht="26.25" customHeight="1">
      <c r="A14" s="114">
        <v>3</v>
      </c>
      <c r="B14" s="114"/>
      <c r="C14" s="114"/>
      <c r="D14" s="115" t="s">
        <v>283</v>
      </c>
      <c r="E14" s="115"/>
      <c r="F14" s="115"/>
      <c r="G14" s="115"/>
      <c r="H14" s="115"/>
      <c r="I14" s="115"/>
      <c r="J14" s="115"/>
      <c r="K14" s="115"/>
      <c r="L14" s="115"/>
      <c r="M14" s="115"/>
      <c r="N14" s="115"/>
      <c r="O14" s="115"/>
      <c r="P14" s="115"/>
      <c r="Q14" s="115"/>
      <c r="R14" s="115"/>
      <c r="S14" s="115"/>
      <c r="T14" s="115"/>
      <c r="U14" s="115"/>
      <c r="V14" s="115"/>
      <c r="W14" s="115"/>
      <c r="X14" s="115"/>
      <c r="Y14" s="115"/>
      <c r="Z14" s="115"/>
      <c r="AA14" s="115"/>
      <c r="AB14" s="115"/>
      <c r="AC14" s="115"/>
      <c r="AD14" s="115"/>
      <c r="AE14" s="115"/>
      <c r="AF14" s="115"/>
      <c r="AG14" s="115"/>
      <c r="AH14" s="115"/>
      <c r="AI14" s="115"/>
      <c r="AJ14" s="115"/>
      <c r="AK14" s="115"/>
      <c r="AL14" s="115"/>
      <c r="AM14" s="115"/>
      <c r="AN14" s="115"/>
      <c r="AO14" s="115"/>
      <c r="AP14" s="115"/>
      <c r="AQ14" s="115"/>
      <c r="AR14" s="115"/>
      <c r="AS14" s="114" t="s">
        <v>282</v>
      </c>
      <c r="AT14" s="114"/>
      <c r="AU14" s="114"/>
      <c r="AV14" s="114"/>
      <c r="AW14" s="114"/>
      <c r="AX14" s="114"/>
      <c r="AY14" s="114"/>
      <c r="AZ14" s="114"/>
      <c r="BA14" s="114"/>
      <c r="BB14" s="114"/>
      <c r="BC14" s="114"/>
      <c r="BD14" s="114"/>
      <c r="BE14" s="114"/>
      <c r="BF14" s="114"/>
      <c r="BG14" s="114"/>
      <c r="BH14" s="114"/>
      <c r="BI14" s="114"/>
      <c r="BJ14" s="114"/>
    </row>
    <row r="15" spans="1:62" s="13" customFormat="1" ht="26.25" customHeight="1">
      <c r="A15" s="114">
        <v>4</v>
      </c>
      <c r="B15" s="114"/>
      <c r="C15" s="114"/>
      <c r="D15" s="115" t="s">
        <v>284</v>
      </c>
      <c r="E15" s="115"/>
      <c r="F15" s="115"/>
      <c r="G15" s="115"/>
      <c r="H15" s="115"/>
      <c r="I15" s="115"/>
      <c r="J15" s="115"/>
      <c r="K15" s="115"/>
      <c r="L15" s="115"/>
      <c r="M15" s="115"/>
      <c r="N15" s="115"/>
      <c r="O15" s="115"/>
      <c r="P15" s="115"/>
      <c r="Q15" s="115"/>
      <c r="R15" s="115"/>
      <c r="S15" s="115"/>
      <c r="T15" s="115"/>
      <c r="U15" s="115"/>
      <c r="V15" s="115"/>
      <c r="W15" s="115"/>
      <c r="X15" s="115"/>
      <c r="Y15" s="115"/>
      <c r="Z15" s="115"/>
      <c r="AA15" s="115"/>
      <c r="AB15" s="115"/>
      <c r="AC15" s="115"/>
      <c r="AD15" s="115"/>
      <c r="AE15" s="115"/>
      <c r="AF15" s="115"/>
      <c r="AG15" s="115"/>
      <c r="AH15" s="115"/>
      <c r="AI15" s="115"/>
      <c r="AJ15" s="115"/>
      <c r="AK15" s="115"/>
      <c r="AL15" s="115"/>
      <c r="AM15" s="115"/>
      <c r="AN15" s="115"/>
      <c r="AO15" s="115"/>
      <c r="AP15" s="115"/>
      <c r="AQ15" s="115"/>
      <c r="AR15" s="115"/>
      <c r="AS15" s="114" t="s">
        <v>282</v>
      </c>
      <c r="AT15" s="114"/>
      <c r="AU15" s="114"/>
      <c r="AV15" s="114"/>
      <c r="AW15" s="114"/>
      <c r="AX15" s="114"/>
      <c r="AY15" s="114"/>
      <c r="AZ15" s="114"/>
      <c r="BA15" s="114"/>
      <c r="BB15" s="114"/>
      <c r="BC15" s="114"/>
      <c r="BD15" s="114"/>
      <c r="BE15" s="114"/>
      <c r="BF15" s="114"/>
      <c r="BG15" s="114"/>
      <c r="BH15" s="114"/>
      <c r="BI15" s="114"/>
      <c r="BJ15" s="114"/>
    </row>
    <row r="16" spans="1:62" s="13" customFormat="1" ht="26.25" customHeight="1">
      <c r="A16" s="114">
        <v>5</v>
      </c>
      <c r="B16" s="114"/>
      <c r="C16" s="114"/>
      <c r="D16" s="115" t="s">
        <v>285</v>
      </c>
      <c r="E16" s="115"/>
      <c r="F16" s="115"/>
      <c r="G16" s="115"/>
      <c r="H16" s="115"/>
      <c r="I16" s="115"/>
      <c r="J16" s="115"/>
      <c r="K16" s="115"/>
      <c r="L16" s="115"/>
      <c r="M16" s="115"/>
      <c r="N16" s="115"/>
      <c r="O16" s="115"/>
      <c r="P16" s="115"/>
      <c r="Q16" s="115"/>
      <c r="R16" s="115"/>
      <c r="S16" s="115"/>
      <c r="T16" s="115"/>
      <c r="U16" s="115"/>
      <c r="V16" s="115"/>
      <c r="W16" s="115"/>
      <c r="X16" s="115"/>
      <c r="Y16" s="115"/>
      <c r="Z16" s="115"/>
      <c r="AA16" s="115"/>
      <c r="AB16" s="115"/>
      <c r="AC16" s="115"/>
      <c r="AD16" s="115"/>
      <c r="AE16" s="115"/>
      <c r="AF16" s="115"/>
      <c r="AG16" s="115"/>
      <c r="AH16" s="115"/>
      <c r="AI16" s="115"/>
      <c r="AJ16" s="115"/>
      <c r="AK16" s="115"/>
      <c r="AL16" s="115"/>
      <c r="AM16" s="115"/>
      <c r="AN16" s="115"/>
      <c r="AO16" s="115"/>
      <c r="AP16" s="115"/>
      <c r="AQ16" s="115"/>
      <c r="AR16" s="115"/>
      <c r="AS16" s="114" t="s">
        <v>282</v>
      </c>
      <c r="AT16" s="114"/>
      <c r="AU16" s="114"/>
      <c r="AV16" s="114"/>
      <c r="AW16" s="114"/>
      <c r="AX16" s="114"/>
      <c r="AY16" s="114"/>
      <c r="AZ16" s="114"/>
      <c r="BA16" s="114"/>
      <c r="BB16" s="114"/>
      <c r="BC16" s="114"/>
      <c r="BD16" s="114"/>
      <c r="BE16" s="114"/>
      <c r="BF16" s="114"/>
      <c r="BG16" s="114"/>
      <c r="BH16" s="114"/>
      <c r="BI16" s="114"/>
      <c r="BJ16" s="114"/>
    </row>
    <row r="17" spans="1:62" s="13" customFormat="1" ht="26.25" customHeight="1">
      <c r="A17" s="114">
        <v>6</v>
      </c>
      <c r="B17" s="114"/>
      <c r="C17" s="114"/>
      <c r="D17" s="115" t="s">
        <v>288</v>
      </c>
      <c r="E17" s="115"/>
      <c r="F17" s="115"/>
      <c r="G17" s="115"/>
      <c r="H17" s="115"/>
      <c r="I17" s="115"/>
      <c r="J17" s="115"/>
      <c r="K17" s="115"/>
      <c r="L17" s="115"/>
      <c r="M17" s="115"/>
      <c r="N17" s="115"/>
      <c r="O17" s="115"/>
      <c r="P17" s="115"/>
      <c r="Q17" s="115"/>
      <c r="R17" s="115"/>
      <c r="S17" s="115"/>
      <c r="T17" s="115"/>
      <c r="U17" s="115"/>
      <c r="V17" s="115"/>
      <c r="W17" s="115"/>
      <c r="X17" s="115"/>
      <c r="Y17" s="115"/>
      <c r="Z17" s="115"/>
      <c r="AA17" s="115"/>
      <c r="AB17" s="115"/>
      <c r="AC17" s="115"/>
      <c r="AD17" s="115"/>
      <c r="AE17" s="115"/>
      <c r="AF17" s="115"/>
      <c r="AG17" s="115"/>
      <c r="AH17" s="115"/>
      <c r="AI17" s="115"/>
      <c r="AJ17" s="115"/>
      <c r="AK17" s="115"/>
      <c r="AL17" s="115"/>
      <c r="AM17" s="115"/>
      <c r="AN17" s="115"/>
      <c r="AO17" s="115"/>
      <c r="AP17" s="115"/>
      <c r="AQ17" s="115"/>
      <c r="AR17" s="115"/>
      <c r="AS17" s="114" t="s">
        <v>282</v>
      </c>
      <c r="AT17" s="114"/>
      <c r="AU17" s="114"/>
      <c r="AV17" s="114"/>
      <c r="AW17" s="114"/>
      <c r="AX17" s="114"/>
      <c r="AY17" s="114"/>
      <c r="AZ17" s="114"/>
      <c r="BA17" s="114"/>
      <c r="BB17" s="114"/>
      <c r="BC17" s="114"/>
      <c r="BD17" s="114"/>
      <c r="BE17" s="114"/>
      <c r="BF17" s="114"/>
      <c r="BG17" s="114"/>
      <c r="BH17" s="114"/>
      <c r="BI17" s="114"/>
      <c r="BJ17" s="114"/>
    </row>
    <row r="18" spans="1:62" s="13" customFormat="1" ht="26.25" customHeight="1">
      <c r="A18" s="114">
        <v>7</v>
      </c>
      <c r="B18" s="114"/>
      <c r="C18" s="114"/>
      <c r="D18" s="117" t="s">
        <v>286</v>
      </c>
      <c r="E18" s="118"/>
      <c r="F18" s="118"/>
      <c r="G18" s="118"/>
      <c r="H18" s="118"/>
      <c r="I18" s="118"/>
      <c r="J18" s="118"/>
      <c r="K18" s="118"/>
      <c r="L18" s="118"/>
      <c r="M18" s="118"/>
      <c r="N18" s="118"/>
      <c r="O18" s="118"/>
      <c r="P18" s="118"/>
      <c r="Q18" s="118"/>
      <c r="R18" s="118"/>
      <c r="S18" s="118"/>
      <c r="T18" s="118"/>
      <c r="U18" s="118"/>
      <c r="V18" s="118"/>
      <c r="W18" s="118"/>
      <c r="X18" s="118"/>
      <c r="Y18" s="118"/>
      <c r="Z18" s="118"/>
      <c r="AA18" s="118"/>
      <c r="AB18" s="118"/>
      <c r="AC18" s="118"/>
      <c r="AD18" s="118"/>
      <c r="AE18" s="118"/>
      <c r="AF18" s="118"/>
      <c r="AG18" s="118"/>
      <c r="AH18" s="118"/>
      <c r="AI18" s="118"/>
      <c r="AJ18" s="118"/>
      <c r="AK18" s="118"/>
      <c r="AL18" s="118"/>
      <c r="AM18" s="118"/>
      <c r="AN18" s="118"/>
      <c r="AO18" s="118"/>
      <c r="AP18" s="118"/>
      <c r="AQ18" s="118"/>
      <c r="AR18" s="119"/>
      <c r="AS18" s="120" t="s">
        <v>282</v>
      </c>
      <c r="AT18" s="121"/>
      <c r="AU18" s="121"/>
      <c r="AV18" s="121"/>
      <c r="AW18" s="121"/>
      <c r="AX18" s="121"/>
      <c r="AY18" s="121"/>
      <c r="AZ18" s="121"/>
      <c r="BA18" s="121"/>
      <c r="BB18" s="121"/>
      <c r="BC18" s="121"/>
      <c r="BD18" s="121"/>
      <c r="BE18" s="121"/>
      <c r="BF18" s="121"/>
      <c r="BG18" s="121"/>
      <c r="BH18" s="121"/>
      <c r="BI18" s="121"/>
      <c r="BJ18" s="122"/>
    </row>
    <row r="19" spans="1:62" s="13" customFormat="1" ht="26.25" customHeight="1">
      <c r="A19" s="123" t="s">
        <v>289</v>
      </c>
      <c r="B19" s="124"/>
      <c r="C19" s="124"/>
      <c r="D19" s="124"/>
      <c r="E19" s="124"/>
      <c r="F19" s="124"/>
      <c r="G19" s="124"/>
      <c r="H19" s="124"/>
      <c r="I19" s="124"/>
      <c r="J19" s="124"/>
      <c r="K19" s="124"/>
      <c r="L19" s="124"/>
      <c r="M19" s="124"/>
      <c r="N19" s="124"/>
      <c r="O19" s="124"/>
      <c r="P19" s="124"/>
      <c r="Q19" s="124"/>
      <c r="R19" s="124"/>
      <c r="S19" s="124"/>
      <c r="T19" s="124"/>
      <c r="U19" s="124"/>
      <c r="V19" s="124"/>
      <c r="W19" s="124"/>
      <c r="X19" s="124"/>
      <c r="Y19" s="124"/>
      <c r="Z19" s="124"/>
      <c r="AA19" s="124"/>
      <c r="AB19" s="124"/>
      <c r="AC19" s="124"/>
      <c r="AD19" s="124"/>
      <c r="AE19" s="124"/>
      <c r="AF19" s="124"/>
      <c r="AG19" s="124"/>
      <c r="AH19" s="124"/>
      <c r="AI19" s="124"/>
      <c r="AJ19" s="124"/>
      <c r="AK19" s="124"/>
      <c r="AL19" s="124"/>
      <c r="AM19" s="124"/>
      <c r="AN19" s="124"/>
      <c r="AO19" s="124"/>
      <c r="AP19" s="124"/>
      <c r="AQ19" s="124"/>
      <c r="AR19" s="124"/>
      <c r="AS19" s="124"/>
      <c r="AT19" s="124"/>
      <c r="AU19" s="124"/>
      <c r="AV19" s="124"/>
      <c r="AW19" s="124"/>
      <c r="AX19" s="124"/>
      <c r="AY19" s="124"/>
      <c r="AZ19" s="124"/>
      <c r="BA19" s="124"/>
      <c r="BB19" s="124"/>
      <c r="BC19" s="124"/>
      <c r="BD19" s="124"/>
      <c r="BE19" s="124"/>
      <c r="BF19" s="124"/>
      <c r="BG19" s="124"/>
      <c r="BH19" s="124"/>
      <c r="BI19" s="124"/>
      <c r="BJ19" s="125"/>
    </row>
    <row r="20" spans="1:62" s="13" customFormat="1" ht="26.25" customHeight="1">
      <c r="A20" s="114">
        <v>1</v>
      </c>
      <c r="B20" s="114"/>
      <c r="C20" s="114"/>
      <c r="D20" s="115" t="s">
        <v>290</v>
      </c>
      <c r="E20" s="115"/>
      <c r="F20" s="115"/>
      <c r="G20" s="115"/>
      <c r="H20" s="115"/>
      <c r="I20" s="115"/>
      <c r="J20" s="115"/>
      <c r="K20" s="115"/>
      <c r="L20" s="115"/>
      <c r="M20" s="115"/>
      <c r="N20" s="115"/>
      <c r="O20" s="115"/>
      <c r="P20" s="115"/>
      <c r="Q20" s="115"/>
      <c r="R20" s="115"/>
      <c r="S20" s="115"/>
      <c r="T20" s="115"/>
      <c r="U20" s="115"/>
      <c r="V20" s="115"/>
      <c r="W20" s="115"/>
      <c r="X20" s="115"/>
      <c r="Y20" s="115"/>
      <c r="Z20" s="115"/>
      <c r="AA20" s="115"/>
      <c r="AB20" s="115"/>
      <c r="AC20" s="115"/>
      <c r="AD20" s="115"/>
      <c r="AE20" s="115"/>
      <c r="AF20" s="115"/>
      <c r="AG20" s="115"/>
      <c r="AH20" s="115"/>
      <c r="AI20" s="115"/>
      <c r="AJ20" s="115"/>
      <c r="AK20" s="115"/>
      <c r="AL20" s="115"/>
      <c r="AM20" s="115"/>
      <c r="AN20" s="115"/>
      <c r="AO20" s="115"/>
      <c r="AP20" s="115"/>
      <c r="AQ20" s="115"/>
      <c r="AR20" s="115"/>
      <c r="AS20" s="114" t="s">
        <v>282</v>
      </c>
      <c r="AT20" s="114"/>
      <c r="AU20" s="114"/>
      <c r="AV20" s="114"/>
      <c r="AW20" s="114"/>
      <c r="AX20" s="114"/>
      <c r="AY20" s="114"/>
      <c r="AZ20" s="114"/>
      <c r="BA20" s="114"/>
      <c r="BB20" s="114"/>
      <c r="BC20" s="114"/>
      <c r="BD20" s="114"/>
      <c r="BE20" s="114"/>
      <c r="BF20" s="114"/>
      <c r="BG20" s="114"/>
      <c r="BH20" s="114"/>
      <c r="BI20" s="114"/>
      <c r="BJ20" s="114"/>
    </row>
    <row r="21" spans="1:62" s="13" customFormat="1" ht="26.25" customHeight="1">
      <c r="A21" s="114">
        <v>2</v>
      </c>
      <c r="B21" s="114"/>
      <c r="C21" s="114"/>
      <c r="D21" s="115" t="s">
        <v>281</v>
      </c>
      <c r="E21" s="115"/>
      <c r="F21" s="115"/>
      <c r="G21" s="115"/>
      <c r="H21" s="115"/>
      <c r="I21" s="115"/>
      <c r="J21" s="115"/>
      <c r="K21" s="115"/>
      <c r="L21" s="115"/>
      <c r="M21" s="115"/>
      <c r="N21" s="115"/>
      <c r="O21" s="115"/>
      <c r="P21" s="115"/>
      <c r="Q21" s="115"/>
      <c r="R21" s="115"/>
      <c r="S21" s="115"/>
      <c r="T21" s="115"/>
      <c r="U21" s="115"/>
      <c r="V21" s="115"/>
      <c r="W21" s="115"/>
      <c r="X21" s="115"/>
      <c r="Y21" s="115"/>
      <c r="Z21" s="115"/>
      <c r="AA21" s="115"/>
      <c r="AB21" s="115"/>
      <c r="AC21" s="115"/>
      <c r="AD21" s="115"/>
      <c r="AE21" s="115"/>
      <c r="AF21" s="115"/>
      <c r="AG21" s="115"/>
      <c r="AH21" s="115"/>
      <c r="AI21" s="115"/>
      <c r="AJ21" s="115"/>
      <c r="AK21" s="115"/>
      <c r="AL21" s="115"/>
      <c r="AM21" s="115"/>
      <c r="AN21" s="115"/>
      <c r="AO21" s="115"/>
      <c r="AP21" s="115"/>
      <c r="AQ21" s="115"/>
      <c r="AR21" s="115"/>
      <c r="AS21" s="114" t="s">
        <v>282</v>
      </c>
      <c r="AT21" s="114"/>
      <c r="AU21" s="114"/>
      <c r="AV21" s="114"/>
      <c r="AW21" s="114"/>
      <c r="AX21" s="114"/>
      <c r="AY21" s="114"/>
      <c r="AZ21" s="114"/>
      <c r="BA21" s="114"/>
      <c r="BB21" s="114"/>
      <c r="BC21" s="114"/>
      <c r="BD21" s="114"/>
      <c r="BE21" s="114"/>
      <c r="BF21" s="114"/>
      <c r="BG21" s="114"/>
      <c r="BH21" s="114"/>
      <c r="BI21" s="114"/>
      <c r="BJ21" s="114"/>
    </row>
    <row r="22" spans="1:62" s="13" customFormat="1" ht="26.25" customHeight="1">
      <c r="A22" s="114">
        <v>3</v>
      </c>
      <c r="B22" s="114"/>
      <c r="C22" s="114"/>
      <c r="D22" s="115" t="s">
        <v>166</v>
      </c>
      <c r="E22" s="115"/>
      <c r="F22" s="115"/>
      <c r="G22" s="115"/>
      <c r="H22" s="115"/>
      <c r="I22" s="115"/>
      <c r="J22" s="115"/>
      <c r="K22" s="115"/>
      <c r="L22" s="115"/>
      <c r="M22" s="115"/>
      <c r="N22" s="115"/>
      <c r="O22" s="115"/>
      <c r="P22" s="115"/>
      <c r="Q22" s="115"/>
      <c r="R22" s="115"/>
      <c r="S22" s="115"/>
      <c r="T22" s="115"/>
      <c r="U22" s="115"/>
      <c r="V22" s="115"/>
      <c r="W22" s="115"/>
      <c r="X22" s="115"/>
      <c r="Y22" s="115"/>
      <c r="Z22" s="115"/>
      <c r="AA22" s="115"/>
      <c r="AB22" s="115"/>
      <c r="AC22" s="115"/>
      <c r="AD22" s="115"/>
      <c r="AE22" s="115"/>
      <c r="AF22" s="115"/>
      <c r="AG22" s="115"/>
      <c r="AH22" s="115"/>
      <c r="AI22" s="115"/>
      <c r="AJ22" s="115"/>
      <c r="AK22" s="115"/>
      <c r="AL22" s="115"/>
      <c r="AM22" s="115"/>
      <c r="AN22" s="115"/>
      <c r="AO22" s="115"/>
      <c r="AP22" s="115"/>
      <c r="AQ22" s="115"/>
      <c r="AR22" s="115"/>
      <c r="AS22" s="114" t="s">
        <v>282</v>
      </c>
      <c r="AT22" s="114"/>
      <c r="AU22" s="114"/>
      <c r="AV22" s="114"/>
      <c r="AW22" s="114"/>
      <c r="AX22" s="114"/>
      <c r="AY22" s="114"/>
      <c r="AZ22" s="114"/>
      <c r="BA22" s="114"/>
      <c r="BB22" s="114"/>
      <c r="BC22" s="114"/>
      <c r="BD22" s="114"/>
      <c r="BE22" s="114"/>
      <c r="BF22" s="114"/>
      <c r="BG22" s="114"/>
      <c r="BH22" s="114"/>
      <c r="BI22" s="114"/>
      <c r="BJ22" s="114"/>
    </row>
    <row r="23" spans="1:62" s="13" customFormat="1" ht="26.25" customHeight="1">
      <c r="A23" s="114">
        <v>4</v>
      </c>
      <c r="B23" s="114"/>
      <c r="C23" s="114"/>
      <c r="D23" s="115" t="s">
        <v>287</v>
      </c>
      <c r="E23" s="115"/>
      <c r="F23" s="115"/>
      <c r="G23" s="115"/>
      <c r="H23" s="115"/>
      <c r="I23" s="115"/>
      <c r="J23" s="115"/>
      <c r="K23" s="115"/>
      <c r="L23" s="115"/>
      <c r="M23" s="115"/>
      <c r="N23" s="115"/>
      <c r="O23" s="115"/>
      <c r="P23" s="115"/>
      <c r="Q23" s="115"/>
      <c r="R23" s="115"/>
      <c r="S23" s="115"/>
      <c r="T23" s="115"/>
      <c r="U23" s="115"/>
      <c r="V23" s="115"/>
      <c r="W23" s="115"/>
      <c r="X23" s="115"/>
      <c r="Y23" s="115"/>
      <c r="Z23" s="115"/>
      <c r="AA23" s="115"/>
      <c r="AB23" s="115"/>
      <c r="AC23" s="115"/>
      <c r="AD23" s="115"/>
      <c r="AE23" s="115"/>
      <c r="AF23" s="115"/>
      <c r="AG23" s="115"/>
      <c r="AH23" s="115"/>
      <c r="AI23" s="115"/>
      <c r="AJ23" s="115"/>
      <c r="AK23" s="115"/>
      <c r="AL23" s="115"/>
      <c r="AM23" s="115"/>
      <c r="AN23" s="115"/>
      <c r="AO23" s="115"/>
      <c r="AP23" s="115"/>
      <c r="AQ23" s="115"/>
      <c r="AR23" s="115"/>
      <c r="AS23" s="114" t="s">
        <v>282</v>
      </c>
      <c r="AT23" s="114"/>
      <c r="AU23" s="114"/>
      <c r="AV23" s="114"/>
      <c r="AW23" s="114"/>
      <c r="AX23" s="114"/>
      <c r="AY23" s="114"/>
      <c r="AZ23" s="114"/>
      <c r="BA23" s="114"/>
      <c r="BB23" s="114"/>
      <c r="BC23" s="114"/>
      <c r="BD23" s="114"/>
      <c r="BE23" s="114"/>
      <c r="BF23" s="114"/>
      <c r="BG23" s="114"/>
      <c r="BH23" s="114"/>
      <c r="BI23" s="114"/>
      <c r="BJ23" s="114"/>
    </row>
    <row r="24" spans="1:62" s="13" customFormat="1" ht="26.25" customHeight="1">
      <c r="A24" s="114">
        <v>5</v>
      </c>
      <c r="B24" s="114"/>
      <c r="C24" s="114"/>
      <c r="D24" s="115" t="s">
        <v>285</v>
      </c>
      <c r="E24" s="115"/>
      <c r="F24" s="115"/>
      <c r="G24" s="115"/>
      <c r="H24" s="115"/>
      <c r="I24" s="115"/>
      <c r="J24" s="115"/>
      <c r="K24" s="115"/>
      <c r="L24" s="115"/>
      <c r="M24" s="115"/>
      <c r="N24" s="115"/>
      <c r="O24" s="115"/>
      <c r="P24" s="115"/>
      <c r="Q24" s="115"/>
      <c r="R24" s="115"/>
      <c r="S24" s="115"/>
      <c r="T24" s="115"/>
      <c r="U24" s="115"/>
      <c r="V24" s="115"/>
      <c r="W24" s="115"/>
      <c r="X24" s="115"/>
      <c r="Y24" s="115"/>
      <c r="Z24" s="115"/>
      <c r="AA24" s="115"/>
      <c r="AB24" s="115"/>
      <c r="AC24" s="115"/>
      <c r="AD24" s="115"/>
      <c r="AE24" s="115"/>
      <c r="AF24" s="115"/>
      <c r="AG24" s="115"/>
      <c r="AH24" s="115"/>
      <c r="AI24" s="115"/>
      <c r="AJ24" s="115"/>
      <c r="AK24" s="115"/>
      <c r="AL24" s="115"/>
      <c r="AM24" s="115"/>
      <c r="AN24" s="115"/>
      <c r="AO24" s="115"/>
      <c r="AP24" s="115"/>
      <c r="AQ24" s="115"/>
      <c r="AR24" s="115"/>
      <c r="AS24" s="114" t="s">
        <v>282</v>
      </c>
      <c r="AT24" s="114"/>
      <c r="AU24" s="114"/>
      <c r="AV24" s="114"/>
      <c r="AW24" s="114"/>
      <c r="AX24" s="114"/>
      <c r="AY24" s="114"/>
      <c r="AZ24" s="114"/>
      <c r="BA24" s="114"/>
      <c r="BB24" s="114"/>
      <c r="BC24" s="114"/>
      <c r="BD24" s="114"/>
      <c r="BE24" s="114"/>
      <c r="BF24" s="114"/>
      <c r="BG24" s="114"/>
      <c r="BH24" s="114"/>
      <c r="BI24" s="114"/>
      <c r="BJ24" s="114"/>
    </row>
    <row r="25" spans="1:62" s="13" customFormat="1" ht="26.25" customHeight="1">
      <c r="A25" s="114">
        <v>6</v>
      </c>
      <c r="B25" s="114"/>
      <c r="C25" s="114"/>
      <c r="D25" s="115" t="s">
        <v>288</v>
      </c>
      <c r="E25" s="115"/>
      <c r="F25" s="115"/>
      <c r="G25" s="115"/>
      <c r="H25" s="115"/>
      <c r="I25" s="115"/>
      <c r="J25" s="115"/>
      <c r="K25" s="115"/>
      <c r="L25" s="115"/>
      <c r="M25" s="115"/>
      <c r="N25" s="115"/>
      <c r="O25" s="115"/>
      <c r="P25" s="115"/>
      <c r="Q25" s="115"/>
      <c r="R25" s="115"/>
      <c r="S25" s="115"/>
      <c r="T25" s="115"/>
      <c r="U25" s="115"/>
      <c r="V25" s="115"/>
      <c r="W25" s="115"/>
      <c r="X25" s="115"/>
      <c r="Y25" s="115"/>
      <c r="Z25" s="115"/>
      <c r="AA25" s="115"/>
      <c r="AB25" s="115"/>
      <c r="AC25" s="115"/>
      <c r="AD25" s="115"/>
      <c r="AE25" s="115"/>
      <c r="AF25" s="115"/>
      <c r="AG25" s="115"/>
      <c r="AH25" s="115"/>
      <c r="AI25" s="115"/>
      <c r="AJ25" s="115"/>
      <c r="AK25" s="115"/>
      <c r="AL25" s="115"/>
      <c r="AM25" s="115"/>
      <c r="AN25" s="115"/>
      <c r="AO25" s="115"/>
      <c r="AP25" s="115"/>
      <c r="AQ25" s="115"/>
      <c r="AR25" s="115"/>
      <c r="AS25" s="114" t="s">
        <v>282</v>
      </c>
      <c r="AT25" s="114"/>
      <c r="AU25" s="114"/>
      <c r="AV25" s="114"/>
      <c r="AW25" s="114"/>
      <c r="AX25" s="114"/>
      <c r="AY25" s="114"/>
      <c r="AZ25" s="114"/>
      <c r="BA25" s="114"/>
      <c r="BB25" s="114"/>
      <c r="BC25" s="114"/>
      <c r="BD25" s="114"/>
      <c r="BE25" s="114"/>
      <c r="BF25" s="114"/>
      <c r="BG25" s="114"/>
      <c r="BH25" s="114"/>
      <c r="BI25" s="114"/>
      <c r="BJ25" s="114"/>
    </row>
    <row r="26" spans="1:62" s="13" customFormat="1" ht="26.25" customHeight="1">
      <c r="A26" s="116">
        <v>7</v>
      </c>
      <c r="B26" s="116"/>
      <c r="C26" s="116"/>
      <c r="D26" s="117" t="s">
        <v>286</v>
      </c>
      <c r="E26" s="118"/>
      <c r="F26" s="118"/>
      <c r="G26" s="118"/>
      <c r="H26" s="118"/>
      <c r="I26" s="118"/>
      <c r="J26" s="118"/>
      <c r="K26" s="118"/>
      <c r="L26" s="118"/>
      <c r="M26" s="118"/>
      <c r="N26" s="118"/>
      <c r="O26" s="118"/>
      <c r="P26" s="118"/>
      <c r="Q26" s="118"/>
      <c r="R26" s="118"/>
      <c r="S26" s="118"/>
      <c r="T26" s="118"/>
      <c r="U26" s="118"/>
      <c r="V26" s="118"/>
      <c r="W26" s="118"/>
      <c r="X26" s="118"/>
      <c r="Y26" s="118"/>
      <c r="Z26" s="118"/>
      <c r="AA26" s="118"/>
      <c r="AB26" s="118"/>
      <c r="AC26" s="118"/>
      <c r="AD26" s="118"/>
      <c r="AE26" s="118"/>
      <c r="AF26" s="118"/>
      <c r="AG26" s="118"/>
      <c r="AH26" s="118"/>
      <c r="AI26" s="118"/>
      <c r="AJ26" s="118"/>
      <c r="AK26" s="118"/>
      <c r="AL26" s="118"/>
      <c r="AM26" s="118"/>
      <c r="AN26" s="118"/>
      <c r="AO26" s="118"/>
      <c r="AP26" s="118"/>
      <c r="AQ26" s="118"/>
      <c r="AR26" s="119"/>
      <c r="AS26" s="116" t="s">
        <v>282</v>
      </c>
      <c r="AT26" s="116"/>
      <c r="AU26" s="116"/>
      <c r="AV26" s="116"/>
      <c r="AW26" s="116"/>
      <c r="AX26" s="116"/>
      <c r="AY26" s="116"/>
      <c r="AZ26" s="116"/>
      <c r="BA26" s="116"/>
      <c r="BB26" s="116"/>
      <c r="BC26" s="116"/>
      <c r="BD26" s="116"/>
      <c r="BE26" s="116"/>
      <c r="BF26" s="116"/>
      <c r="BG26" s="116"/>
      <c r="BH26" s="116"/>
      <c r="BI26" s="116"/>
      <c r="BJ26" s="116"/>
    </row>
    <row r="27" spans="1:62" s="13" customFormat="1" ht="10.5" customHeight="1">
      <c r="A27" s="51"/>
      <c r="B27" s="51"/>
      <c r="C27" s="51"/>
      <c r="D27" s="51"/>
      <c r="E27" s="51"/>
      <c r="F27" s="51"/>
      <c r="G27" s="51"/>
      <c r="H27" s="51"/>
      <c r="I27" s="51"/>
      <c r="J27" s="51"/>
      <c r="K27" s="51"/>
      <c r="L27" s="51"/>
      <c r="M27" s="51"/>
      <c r="N27" s="51"/>
      <c r="O27" s="51"/>
      <c r="P27" s="51"/>
      <c r="Q27" s="51"/>
      <c r="R27" s="51"/>
      <c r="S27" s="51"/>
      <c r="T27" s="51"/>
      <c r="U27" s="51"/>
      <c r="V27" s="51"/>
      <c r="W27" s="51"/>
      <c r="X27" s="51"/>
      <c r="Y27" s="51"/>
      <c r="Z27" s="51"/>
      <c r="AA27" s="51"/>
      <c r="AB27" s="51"/>
      <c r="AC27" s="51"/>
      <c r="AD27" s="51"/>
      <c r="AE27" s="51"/>
      <c r="AF27" s="51"/>
      <c r="AG27" s="51"/>
      <c r="AH27" s="51"/>
      <c r="AI27" s="51"/>
      <c r="AJ27" s="51"/>
      <c r="AK27" s="51"/>
      <c r="AL27" s="51"/>
      <c r="AM27" s="51"/>
      <c r="AN27" s="51"/>
      <c r="AO27" s="51"/>
      <c r="AP27" s="51"/>
      <c r="AQ27" s="51"/>
      <c r="AR27" s="51"/>
      <c r="AS27" s="51"/>
      <c r="AT27" s="51"/>
      <c r="AU27" s="51"/>
      <c r="AV27" s="51"/>
      <c r="AW27" s="51"/>
      <c r="AX27" s="51"/>
      <c r="BC27" s="51"/>
      <c r="BD27" s="51"/>
      <c r="BE27" s="51"/>
      <c r="BF27" s="51"/>
      <c r="BG27" s="51"/>
      <c r="BH27" s="51"/>
      <c r="BI27" s="51"/>
      <c r="BJ27" s="51"/>
    </row>
    <row r="28" spans="1:62" s="4" customFormat="1">
      <c r="B28" s="28" t="s">
        <v>19</v>
      </c>
      <c r="G28" s="5"/>
    </row>
    <row r="29" spans="1:62" s="13" customFormat="1" ht="42" customHeight="1">
      <c r="A29" s="155" t="s">
        <v>20</v>
      </c>
      <c r="B29" s="157"/>
      <c r="C29" s="156"/>
      <c r="D29" s="155" t="s">
        <v>21</v>
      </c>
      <c r="E29" s="157"/>
      <c r="F29" s="157"/>
      <c r="G29" s="157"/>
      <c r="H29" s="157"/>
      <c r="I29" s="157"/>
      <c r="J29" s="157"/>
      <c r="K29" s="157"/>
      <c r="L29" s="157"/>
      <c r="M29" s="157"/>
      <c r="N29" s="157"/>
      <c r="O29" s="157"/>
      <c r="P29" s="157"/>
      <c r="Q29" s="157"/>
      <c r="R29" s="157"/>
      <c r="S29" s="157"/>
      <c r="T29" s="156"/>
      <c r="U29" s="163" t="s">
        <v>22</v>
      </c>
      <c r="V29" s="164"/>
      <c r="W29" s="164"/>
      <c r="X29" s="164"/>
      <c r="Y29" s="165"/>
      <c r="Z29" s="163" t="s">
        <v>23</v>
      </c>
      <c r="AA29" s="164"/>
      <c r="AB29" s="165"/>
      <c r="AC29" s="163" t="s">
        <v>24</v>
      </c>
      <c r="AD29" s="164"/>
      <c r="AE29" s="165"/>
      <c r="AF29" s="163" t="s">
        <v>25</v>
      </c>
      <c r="AG29" s="164"/>
      <c r="AH29" s="165"/>
      <c r="AI29" s="163" t="s">
        <v>26</v>
      </c>
      <c r="AJ29" s="164"/>
      <c r="AK29" s="165"/>
      <c r="AL29" s="163" t="s">
        <v>27</v>
      </c>
      <c r="AM29" s="164"/>
      <c r="AN29" s="165"/>
      <c r="AO29" s="163" t="s">
        <v>28</v>
      </c>
      <c r="AP29" s="164"/>
      <c r="AQ29" s="165"/>
      <c r="AR29" s="155" t="s">
        <v>29</v>
      </c>
      <c r="AS29" s="157"/>
      <c r="AT29" s="157"/>
      <c r="AU29" s="157"/>
      <c r="AV29" s="157"/>
      <c r="AW29" s="157"/>
      <c r="AX29" s="157"/>
      <c r="AY29" s="157"/>
      <c r="AZ29" s="157"/>
      <c r="BA29" s="157"/>
      <c r="BB29" s="157"/>
      <c r="BC29" s="157"/>
      <c r="BD29" s="157"/>
      <c r="BE29" s="157"/>
      <c r="BF29" s="157"/>
      <c r="BG29" s="157"/>
      <c r="BH29" s="157"/>
      <c r="BI29" s="157"/>
      <c r="BJ29" s="156"/>
    </row>
    <row r="30" spans="1:62" s="47" customFormat="1" ht="48" customHeight="1">
      <c r="A30" s="166">
        <v>1</v>
      </c>
      <c r="B30" s="166"/>
      <c r="C30" s="166"/>
      <c r="D30" s="170" t="s">
        <v>50</v>
      </c>
      <c r="E30" s="171"/>
      <c r="F30" s="171"/>
      <c r="G30" s="171"/>
      <c r="H30" s="171"/>
      <c r="I30" s="171"/>
      <c r="J30" s="171"/>
      <c r="K30" s="171"/>
      <c r="L30" s="171"/>
      <c r="M30" s="171"/>
      <c r="N30" s="171"/>
      <c r="O30" s="171"/>
      <c r="P30" s="171"/>
      <c r="Q30" s="171"/>
      <c r="R30" s="171"/>
      <c r="S30" s="171"/>
      <c r="T30" s="172"/>
      <c r="U30" s="158" t="s">
        <v>64</v>
      </c>
      <c r="V30" s="159"/>
      <c r="W30" s="159"/>
      <c r="X30" s="159"/>
      <c r="Y30" s="160"/>
      <c r="Z30" s="158">
        <v>6</v>
      </c>
      <c r="AA30" s="159"/>
      <c r="AB30" s="160"/>
      <c r="AC30" s="158"/>
      <c r="AD30" s="159"/>
      <c r="AE30" s="160"/>
      <c r="AF30" s="158"/>
      <c r="AG30" s="159"/>
      <c r="AH30" s="160"/>
      <c r="AI30" s="158"/>
      <c r="AJ30" s="159"/>
      <c r="AK30" s="160"/>
      <c r="AL30" s="158"/>
      <c r="AM30" s="159"/>
      <c r="AN30" s="160"/>
      <c r="AO30" s="158"/>
      <c r="AP30" s="159"/>
      <c r="AQ30" s="160"/>
      <c r="AR30" s="167" t="s">
        <v>72</v>
      </c>
      <c r="AS30" s="168"/>
      <c r="AT30" s="168"/>
      <c r="AU30" s="168"/>
      <c r="AV30" s="168"/>
      <c r="AW30" s="168"/>
      <c r="AX30" s="168"/>
      <c r="AY30" s="168"/>
      <c r="AZ30" s="168"/>
      <c r="BA30" s="168"/>
      <c r="BB30" s="168"/>
      <c r="BC30" s="168"/>
      <c r="BD30" s="168"/>
      <c r="BE30" s="168"/>
      <c r="BF30" s="168"/>
      <c r="BG30" s="168"/>
      <c r="BH30" s="168"/>
      <c r="BI30" s="168"/>
      <c r="BJ30" s="169"/>
    </row>
    <row r="31" spans="1:62" s="47" customFormat="1" ht="75" customHeight="1">
      <c r="A31" s="130">
        <v>2</v>
      </c>
      <c r="B31" s="130"/>
      <c r="C31" s="130"/>
      <c r="D31" s="137" t="s">
        <v>51</v>
      </c>
      <c r="E31" s="138"/>
      <c r="F31" s="138"/>
      <c r="G31" s="138"/>
      <c r="H31" s="138"/>
      <c r="I31" s="138"/>
      <c r="J31" s="138"/>
      <c r="K31" s="138"/>
      <c r="L31" s="138"/>
      <c r="M31" s="138"/>
      <c r="N31" s="138"/>
      <c r="O31" s="138"/>
      <c r="P31" s="138"/>
      <c r="Q31" s="138"/>
      <c r="R31" s="138"/>
      <c r="S31" s="138"/>
      <c r="T31" s="139"/>
      <c r="U31" s="131" t="s">
        <v>64</v>
      </c>
      <c r="V31" s="132"/>
      <c r="W31" s="132"/>
      <c r="X31" s="132"/>
      <c r="Y31" s="133"/>
      <c r="Z31" s="131">
        <v>6</v>
      </c>
      <c r="AA31" s="132"/>
      <c r="AB31" s="133"/>
      <c r="AC31" s="131"/>
      <c r="AD31" s="132"/>
      <c r="AE31" s="133"/>
      <c r="AF31" s="131"/>
      <c r="AG31" s="132"/>
      <c r="AH31" s="133"/>
      <c r="AI31" s="131"/>
      <c r="AJ31" s="132"/>
      <c r="AK31" s="133"/>
      <c r="AL31" s="131"/>
      <c r="AM31" s="132"/>
      <c r="AN31" s="133"/>
      <c r="AO31" s="131"/>
      <c r="AP31" s="132"/>
      <c r="AQ31" s="133"/>
      <c r="AR31" s="127" t="s">
        <v>71</v>
      </c>
      <c r="AS31" s="128"/>
      <c r="AT31" s="128"/>
      <c r="AU31" s="128"/>
      <c r="AV31" s="128"/>
      <c r="AW31" s="128"/>
      <c r="AX31" s="128"/>
      <c r="AY31" s="128"/>
      <c r="AZ31" s="128"/>
      <c r="BA31" s="128"/>
      <c r="BB31" s="128"/>
      <c r="BC31" s="128"/>
      <c r="BD31" s="128"/>
      <c r="BE31" s="128"/>
      <c r="BF31" s="128"/>
      <c r="BG31" s="128"/>
      <c r="BH31" s="128"/>
      <c r="BI31" s="128"/>
      <c r="BJ31" s="129"/>
    </row>
    <row r="32" spans="1:62" s="47" customFormat="1" ht="45" customHeight="1">
      <c r="A32" s="130">
        <v>3</v>
      </c>
      <c r="B32" s="130"/>
      <c r="C32" s="130"/>
      <c r="D32" s="134" t="s">
        <v>184</v>
      </c>
      <c r="E32" s="135"/>
      <c r="F32" s="135"/>
      <c r="G32" s="135"/>
      <c r="H32" s="135"/>
      <c r="I32" s="135"/>
      <c r="J32" s="135"/>
      <c r="K32" s="135"/>
      <c r="L32" s="135"/>
      <c r="M32" s="135"/>
      <c r="N32" s="135"/>
      <c r="O32" s="135"/>
      <c r="P32" s="135"/>
      <c r="Q32" s="135"/>
      <c r="R32" s="135"/>
      <c r="S32" s="135"/>
      <c r="T32" s="136"/>
      <c r="U32" s="131" t="s">
        <v>186</v>
      </c>
      <c r="V32" s="132"/>
      <c r="W32" s="132"/>
      <c r="X32" s="132"/>
      <c r="Y32" s="133"/>
      <c r="Z32" s="131">
        <v>2</v>
      </c>
      <c r="AA32" s="132"/>
      <c r="AB32" s="133"/>
      <c r="AC32" s="131"/>
      <c r="AD32" s="132"/>
      <c r="AE32" s="133"/>
      <c r="AF32" s="131"/>
      <c r="AG32" s="132"/>
      <c r="AH32" s="133"/>
      <c r="AI32" s="131"/>
      <c r="AJ32" s="132"/>
      <c r="AK32" s="133"/>
      <c r="AL32" s="131"/>
      <c r="AM32" s="132"/>
      <c r="AN32" s="133"/>
      <c r="AO32" s="131"/>
      <c r="AP32" s="132"/>
      <c r="AQ32" s="133"/>
      <c r="AR32" s="127" t="s">
        <v>188</v>
      </c>
      <c r="AS32" s="128"/>
      <c r="AT32" s="128"/>
      <c r="AU32" s="128"/>
      <c r="AV32" s="128"/>
      <c r="AW32" s="128"/>
      <c r="AX32" s="128"/>
      <c r="AY32" s="128"/>
      <c r="AZ32" s="128"/>
      <c r="BA32" s="128"/>
      <c r="BB32" s="128"/>
      <c r="BC32" s="128"/>
      <c r="BD32" s="128"/>
      <c r="BE32" s="128"/>
      <c r="BF32" s="128"/>
      <c r="BG32" s="128"/>
      <c r="BH32" s="128"/>
      <c r="BI32" s="128"/>
      <c r="BJ32" s="129"/>
    </row>
    <row r="33" spans="1:62" s="47" customFormat="1" ht="139.94999999999999" customHeight="1">
      <c r="A33" s="130">
        <v>4</v>
      </c>
      <c r="B33" s="130"/>
      <c r="C33" s="130"/>
      <c r="D33" s="134" t="s">
        <v>185</v>
      </c>
      <c r="E33" s="135"/>
      <c r="F33" s="135"/>
      <c r="G33" s="135"/>
      <c r="H33" s="135"/>
      <c r="I33" s="135"/>
      <c r="J33" s="135"/>
      <c r="K33" s="135"/>
      <c r="L33" s="135"/>
      <c r="M33" s="135"/>
      <c r="N33" s="135"/>
      <c r="O33" s="135"/>
      <c r="P33" s="135"/>
      <c r="Q33" s="135"/>
      <c r="R33" s="135"/>
      <c r="S33" s="135"/>
      <c r="T33" s="136"/>
      <c r="U33" s="131" t="s">
        <v>187</v>
      </c>
      <c r="V33" s="132"/>
      <c r="W33" s="132"/>
      <c r="X33" s="132"/>
      <c r="Y33" s="133"/>
      <c r="Z33" s="131">
        <v>10</v>
      </c>
      <c r="AA33" s="132"/>
      <c r="AB33" s="133"/>
      <c r="AC33" s="131"/>
      <c r="AD33" s="132"/>
      <c r="AE33" s="133"/>
      <c r="AF33" s="131"/>
      <c r="AG33" s="132"/>
      <c r="AH33" s="133"/>
      <c r="AI33" s="131"/>
      <c r="AJ33" s="132"/>
      <c r="AK33" s="133"/>
      <c r="AL33" s="131"/>
      <c r="AM33" s="132"/>
      <c r="AN33" s="133"/>
      <c r="AO33" s="131"/>
      <c r="AP33" s="132"/>
      <c r="AQ33" s="133"/>
      <c r="AR33" s="127" t="s">
        <v>323</v>
      </c>
      <c r="AS33" s="128"/>
      <c r="AT33" s="128"/>
      <c r="AU33" s="128"/>
      <c r="AV33" s="128"/>
      <c r="AW33" s="128"/>
      <c r="AX33" s="128"/>
      <c r="AY33" s="128"/>
      <c r="AZ33" s="128"/>
      <c r="BA33" s="128"/>
      <c r="BB33" s="128"/>
      <c r="BC33" s="128"/>
      <c r="BD33" s="128"/>
      <c r="BE33" s="128"/>
      <c r="BF33" s="128"/>
      <c r="BG33" s="128"/>
      <c r="BH33" s="128"/>
      <c r="BI33" s="128"/>
      <c r="BJ33" s="129"/>
    </row>
    <row r="34" spans="1:62" s="47" customFormat="1" ht="45" customHeight="1">
      <c r="A34" s="130">
        <v>5</v>
      </c>
      <c r="B34" s="130"/>
      <c r="C34" s="130"/>
      <c r="D34" s="137" t="s">
        <v>52</v>
      </c>
      <c r="E34" s="138"/>
      <c r="F34" s="138"/>
      <c r="G34" s="138"/>
      <c r="H34" s="138"/>
      <c r="I34" s="138"/>
      <c r="J34" s="138"/>
      <c r="K34" s="138"/>
      <c r="L34" s="138"/>
      <c r="M34" s="138"/>
      <c r="N34" s="138"/>
      <c r="O34" s="138"/>
      <c r="P34" s="138"/>
      <c r="Q34" s="138"/>
      <c r="R34" s="138"/>
      <c r="S34" s="138"/>
      <c r="T34" s="139"/>
      <c r="U34" s="131" t="s">
        <v>65</v>
      </c>
      <c r="V34" s="132"/>
      <c r="W34" s="132"/>
      <c r="X34" s="132"/>
      <c r="Y34" s="133"/>
      <c r="Z34" s="131" t="s">
        <v>67</v>
      </c>
      <c r="AA34" s="132"/>
      <c r="AB34" s="133"/>
      <c r="AC34" s="131"/>
      <c r="AD34" s="132"/>
      <c r="AE34" s="133"/>
      <c r="AF34" s="131"/>
      <c r="AG34" s="132"/>
      <c r="AH34" s="133"/>
      <c r="AI34" s="131"/>
      <c r="AJ34" s="132"/>
      <c r="AK34" s="133"/>
      <c r="AL34" s="131"/>
      <c r="AM34" s="132"/>
      <c r="AN34" s="133"/>
      <c r="AO34" s="131"/>
      <c r="AP34" s="132"/>
      <c r="AQ34" s="133"/>
      <c r="AR34" s="127" t="s">
        <v>73</v>
      </c>
      <c r="AS34" s="128"/>
      <c r="AT34" s="128"/>
      <c r="AU34" s="128"/>
      <c r="AV34" s="128"/>
      <c r="AW34" s="128"/>
      <c r="AX34" s="128"/>
      <c r="AY34" s="128"/>
      <c r="AZ34" s="128"/>
      <c r="BA34" s="128"/>
      <c r="BB34" s="128"/>
      <c r="BC34" s="128"/>
      <c r="BD34" s="128"/>
      <c r="BE34" s="128"/>
      <c r="BF34" s="128"/>
      <c r="BG34" s="128"/>
      <c r="BH34" s="128"/>
      <c r="BI34" s="128"/>
      <c r="BJ34" s="129"/>
    </row>
    <row r="35" spans="1:62" s="47" customFormat="1" ht="36" customHeight="1">
      <c r="A35" s="130">
        <v>6</v>
      </c>
      <c r="B35" s="130"/>
      <c r="C35" s="130"/>
      <c r="D35" s="137" t="s">
        <v>53</v>
      </c>
      <c r="E35" s="138"/>
      <c r="F35" s="138"/>
      <c r="G35" s="138"/>
      <c r="H35" s="138"/>
      <c r="I35" s="138"/>
      <c r="J35" s="138"/>
      <c r="K35" s="138"/>
      <c r="L35" s="138"/>
      <c r="M35" s="138"/>
      <c r="N35" s="138"/>
      <c r="O35" s="138"/>
      <c r="P35" s="138"/>
      <c r="Q35" s="138"/>
      <c r="R35" s="138"/>
      <c r="S35" s="138"/>
      <c r="T35" s="139"/>
      <c r="U35" s="131" t="s">
        <v>66</v>
      </c>
      <c r="V35" s="132"/>
      <c r="W35" s="132"/>
      <c r="X35" s="132"/>
      <c r="Y35" s="133"/>
      <c r="Z35" s="131">
        <v>2</v>
      </c>
      <c r="AA35" s="132"/>
      <c r="AB35" s="133"/>
      <c r="AC35" s="131"/>
      <c r="AD35" s="132"/>
      <c r="AE35" s="133"/>
      <c r="AF35" s="131"/>
      <c r="AG35" s="132"/>
      <c r="AH35" s="133"/>
      <c r="AI35" s="131"/>
      <c r="AJ35" s="132"/>
      <c r="AK35" s="133"/>
      <c r="AL35" s="131"/>
      <c r="AM35" s="132"/>
      <c r="AN35" s="133"/>
      <c r="AO35" s="131"/>
      <c r="AP35" s="132"/>
      <c r="AQ35" s="133"/>
      <c r="AR35" s="162" t="s">
        <v>74</v>
      </c>
      <c r="AS35" s="128"/>
      <c r="AT35" s="128"/>
      <c r="AU35" s="128"/>
      <c r="AV35" s="128"/>
      <c r="AW35" s="128"/>
      <c r="AX35" s="128"/>
      <c r="AY35" s="128"/>
      <c r="AZ35" s="128"/>
      <c r="BA35" s="128"/>
      <c r="BB35" s="128"/>
      <c r="BC35" s="128"/>
      <c r="BD35" s="128"/>
      <c r="BE35" s="128"/>
      <c r="BF35" s="128"/>
      <c r="BG35" s="128"/>
      <c r="BH35" s="128"/>
      <c r="BI35" s="128"/>
      <c r="BJ35" s="129"/>
    </row>
    <row r="36" spans="1:62" s="47" customFormat="1" ht="36" customHeight="1">
      <c r="A36" s="130">
        <v>7</v>
      </c>
      <c r="B36" s="130"/>
      <c r="C36" s="130"/>
      <c r="D36" s="137" t="s">
        <v>54</v>
      </c>
      <c r="E36" s="138"/>
      <c r="F36" s="138"/>
      <c r="G36" s="138"/>
      <c r="H36" s="138"/>
      <c r="I36" s="138"/>
      <c r="J36" s="138"/>
      <c r="K36" s="138"/>
      <c r="L36" s="138"/>
      <c r="M36" s="138"/>
      <c r="N36" s="138"/>
      <c r="O36" s="138"/>
      <c r="P36" s="138"/>
      <c r="Q36" s="138"/>
      <c r="R36" s="138"/>
      <c r="S36" s="138"/>
      <c r="T36" s="139"/>
      <c r="U36" s="131" t="s">
        <v>65</v>
      </c>
      <c r="V36" s="132"/>
      <c r="W36" s="132"/>
      <c r="X36" s="132"/>
      <c r="Y36" s="133"/>
      <c r="Z36" s="131">
        <v>15</v>
      </c>
      <c r="AA36" s="132"/>
      <c r="AB36" s="133"/>
      <c r="AC36" s="131"/>
      <c r="AD36" s="132"/>
      <c r="AE36" s="133"/>
      <c r="AF36" s="131"/>
      <c r="AG36" s="132"/>
      <c r="AH36" s="133"/>
      <c r="AI36" s="131"/>
      <c r="AJ36" s="132"/>
      <c r="AK36" s="133"/>
      <c r="AL36" s="131"/>
      <c r="AM36" s="132"/>
      <c r="AN36" s="133"/>
      <c r="AO36" s="131"/>
      <c r="AP36" s="132"/>
      <c r="AQ36" s="133"/>
      <c r="AR36" s="127" t="s">
        <v>75</v>
      </c>
      <c r="AS36" s="128"/>
      <c r="AT36" s="128"/>
      <c r="AU36" s="128"/>
      <c r="AV36" s="128"/>
      <c r="AW36" s="128"/>
      <c r="AX36" s="128"/>
      <c r="AY36" s="128"/>
      <c r="AZ36" s="128"/>
      <c r="BA36" s="128"/>
      <c r="BB36" s="128"/>
      <c r="BC36" s="128"/>
      <c r="BD36" s="128"/>
      <c r="BE36" s="128"/>
      <c r="BF36" s="128"/>
      <c r="BG36" s="128"/>
      <c r="BH36" s="128"/>
      <c r="BI36" s="128"/>
      <c r="BJ36" s="129"/>
    </row>
    <row r="37" spans="1:62" s="47" customFormat="1" ht="60" customHeight="1">
      <c r="A37" s="116">
        <v>8</v>
      </c>
      <c r="B37" s="116"/>
      <c r="C37" s="116"/>
      <c r="D37" s="140" t="s">
        <v>55</v>
      </c>
      <c r="E37" s="141"/>
      <c r="F37" s="141"/>
      <c r="G37" s="141"/>
      <c r="H37" s="141"/>
      <c r="I37" s="141"/>
      <c r="J37" s="141"/>
      <c r="K37" s="141"/>
      <c r="L37" s="141"/>
      <c r="M37" s="141"/>
      <c r="N37" s="141"/>
      <c r="O37" s="141"/>
      <c r="P37" s="141"/>
      <c r="Q37" s="141"/>
      <c r="R37" s="141"/>
      <c r="S37" s="141"/>
      <c r="T37" s="142"/>
      <c r="U37" s="120" t="s">
        <v>66</v>
      </c>
      <c r="V37" s="121"/>
      <c r="W37" s="121"/>
      <c r="X37" s="121"/>
      <c r="Y37" s="122"/>
      <c r="Z37" s="120">
        <v>2</v>
      </c>
      <c r="AA37" s="121"/>
      <c r="AB37" s="122"/>
      <c r="AC37" s="120"/>
      <c r="AD37" s="121"/>
      <c r="AE37" s="122"/>
      <c r="AF37" s="120"/>
      <c r="AG37" s="121"/>
      <c r="AH37" s="122"/>
      <c r="AI37" s="120"/>
      <c r="AJ37" s="121"/>
      <c r="AK37" s="122"/>
      <c r="AL37" s="120"/>
      <c r="AM37" s="121"/>
      <c r="AN37" s="122"/>
      <c r="AO37" s="120"/>
      <c r="AP37" s="121"/>
      <c r="AQ37" s="122"/>
      <c r="AR37" s="149" t="s">
        <v>76</v>
      </c>
      <c r="AS37" s="150"/>
      <c r="AT37" s="150"/>
      <c r="AU37" s="150"/>
      <c r="AV37" s="150"/>
      <c r="AW37" s="150"/>
      <c r="AX37" s="150"/>
      <c r="AY37" s="150"/>
      <c r="AZ37" s="150"/>
      <c r="BA37" s="150"/>
      <c r="BB37" s="150"/>
      <c r="BC37" s="150"/>
      <c r="BD37" s="150"/>
      <c r="BE37" s="150"/>
      <c r="BF37" s="150"/>
      <c r="BG37" s="150"/>
      <c r="BH37" s="150"/>
      <c r="BI37" s="150"/>
      <c r="BJ37" s="151"/>
    </row>
    <row r="38" spans="1:62" s="47" customFormat="1" ht="42" customHeight="1">
      <c r="A38" s="114">
        <v>9</v>
      </c>
      <c r="B38" s="114"/>
      <c r="C38" s="114"/>
      <c r="D38" s="152" t="s">
        <v>56</v>
      </c>
      <c r="E38" s="153"/>
      <c r="F38" s="153"/>
      <c r="G38" s="153"/>
      <c r="H38" s="153"/>
      <c r="I38" s="153"/>
      <c r="J38" s="153"/>
      <c r="K38" s="153"/>
      <c r="L38" s="153"/>
      <c r="M38" s="153"/>
      <c r="N38" s="153"/>
      <c r="O38" s="153"/>
      <c r="P38" s="153"/>
      <c r="Q38" s="153"/>
      <c r="R38" s="153"/>
      <c r="S38" s="153"/>
      <c r="T38" s="154"/>
      <c r="U38" s="143" t="s">
        <v>65</v>
      </c>
      <c r="V38" s="144"/>
      <c r="W38" s="144"/>
      <c r="X38" s="144"/>
      <c r="Y38" s="145"/>
      <c r="Z38" s="143">
        <v>15</v>
      </c>
      <c r="AA38" s="144"/>
      <c r="AB38" s="145"/>
      <c r="AC38" s="143"/>
      <c r="AD38" s="144"/>
      <c r="AE38" s="145"/>
      <c r="AF38" s="143"/>
      <c r="AG38" s="144"/>
      <c r="AH38" s="145"/>
      <c r="AI38" s="143"/>
      <c r="AJ38" s="144"/>
      <c r="AK38" s="145"/>
      <c r="AL38" s="143"/>
      <c r="AM38" s="144"/>
      <c r="AN38" s="145"/>
      <c r="AO38" s="143"/>
      <c r="AP38" s="144"/>
      <c r="AQ38" s="145"/>
      <c r="AR38" s="146" t="s">
        <v>77</v>
      </c>
      <c r="AS38" s="147"/>
      <c r="AT38" s="147"/>
      <c r="AU38" s="147"/>
      <c r="AV38" s="147"/>
      <c r="AW38" s="147"/>
      <c r="AX38" s="147"/>
      <c r="AY38" s="147"/>
      <c r="AZ38" s="147"/>
      <c r="BA38" s="147"/>
      <c r="BB38" s="147"/>
      <c r="BC38" s="147"/>
      <c r="BD38" s="147"/>
      <c r="BE38" s="147"/>
      <c r="BF38" s="147"/>
      <c r="BG38" s="147"/>
      <c r="BH38" s="147"/>
      <c r="BI38" s="147"/>
      <c r="BJ38" s="148"/>
    </row>
    <row r="39" spans="1:62" s="47" customFormat="1" ht="42" customHeight="1">
      <c r="A39" s="130">
        <v>10</v>
      </c>
      <c r="B39" s="130"/>
      <c r="C39" s="130"/>
      <c r="D39" s="137" t="s">
        <v>57</v>
      </c>
      <c r="E39" s="138"/>
      <c r="F39" s="138"/>
      <c r="G39" s="138"/>
      <c r="H39" s="138"/>
      <c r="I39" s="138"/>
      <c r="J39" s="138"/>
      <c r="K39" s="138"/>
      <c r="L39" s="138"/>
      <c r="M39" s="138"/>
      <c r="N39" s="138"/>
      <c r="O39" s="138"/>
      <c r="P39" s="138"/>
      <c r="Q39" s="138"/>
      <c r="R39" s="138"/>
      <c r="S39" s="138"/>
      <c r="T39" s="139"/>
      <c r="U39" s="131" t="s">
        <v>66</v>
      </c>
      <c r="V39" s="132"/>
      <c r="W39" s="132"/>
      <c r="X39" s="132"/>
      <c r="Y39" s="133"/>
      <c r="Z39" s="131">
        <v>2</v>
      </c>
      <c r="AA39" s="132"/>
      <c r="AB39" s="133"/>
      <c r="AC39" s="131"/>
      <c r="AD39" s="132"/>
      <c r="AE39" s="133"/>
      <c r="AF39" s="131"/>
      <c r="AG39" s="132"/>
      <c r="AH39" s="133"/>
      <c r="AI39" s="131"/>
      <c r="AJ39" s="132"/>
      <c r="AK39" s="133"/>
      <c r="AL39" s="131"/>
      <c r="AM39" s="132"/>
      <c r="AN39" s="133"/>
      <c r="AO39" s="131"/>
      <c r="AP39" s="132"/>
      <c r="AQ39" s="133"/>
      <c r="AR39" s="127" t="s">
        <v>78</v>
      </c>
      <c r="AS39" s="128"/>
      <c r="AT39" s="128"/>
      <c r="AU39" s="128"/>
      <c r="AV39" s="128"/>
      <c r="AW39" s="128"/>
      <c r="AX39" s="128"/>
      <c r="AY39" s="128"/>
      <c r="AZ39" s="128"/>
      <c r="BA39" s="128"/>
      <c r="BB39" s="128"/>
      <c r="BC39" s="128"/>
      <c r="BD39" s="128"/>
      <c r="BE39" s="128"/>
      <c r="BF39" s="128"/>
      <c r="BG39" s="128"/>
      <c r="BH39" s="128"/>
      <c r="BI39" s="128"/>
      <c r="BJ39" s="129"/>
    </row>
    <row r="40" spans="1:62" s="47" customFormat="1" ht="42" customHeight="1">
      <c r="A40" s="130">
        <v>11</v>
      </c>
      <c r="B40" s="130"/>
      <c r="C40" s="130"/>
      <c r="D40" s="137" t="s">
        <v>58</v>
      </c>
      <c r="E40" s="138"/>
      <c r="F40" s="138"/>
      <c r="G40" s="138"/>
      <c r="H40" s="138"/>
      <c r="I40" s="138"/>
      <c r="J40" s="138"/>
      <c r="K40" s="138"/>
      <c r="L40" s="138"/>
      <c r="M40" s="138"/>
      <c r="N40" s="138"/>
      <c r="O40" s="138"/>
      <c r="P40" s="138"/>
      <c r="Q40" s="138"/>
      <c r="R40" s="138"/>
      <c r="S40" s="138"/>
      <c r="T40" s="139"/>
      <c r="U40" s="131" t="s">
        <v>65</v>
      </c>
      <c r="V40" s="132"/>
      <c r="W40" s="132"/>
      <c r="X40" s="132"/>
      <c r="Y40" s="133"/>
      <c r="Z40" s="131">
        <v>10</v>
      </c>
      <c r="AA40" s="132"/>
      <c r="AB40" s="133"/>
      <c r="AC40" s="131"/>
      <c r="AD40" s="132"/>
      <c r="AE40" s="133"/>
      <c r="AF40" s="131"/>
      <c r="AG40" s="132"/>
      <c r="AH40" s="133"/>
      <c r="AI40" s="131"/>
      <c r="AJ40" s="132"/>
      <c r="AK40" s="133"/>
      <c r="AL40" s="131"/>
      <c r="AM40" s="132"/>
      <c r="AN40" s="133"/>
      <c r="AO40" s="131"/>
      <c r="AP40" s="132"/>
      <c r="AQ40" s="133"/>
      <c r="AR40" s="127" t="s">
        <v>79</v>
      </c>
      <c r="AS40" s="128"/>
      <c r="AT40" s="128"/>
      <c r="AU40" s="128"/>
      <c r="AV40" s="128"/>
      <c r="AW40" s="128"/>
      <c r="AX40" s="128"/>
      <c r="AY40" s="128"/>
      <c r="AZ40" s="128"/>
      <c r="BA40" s="128"/>
      <c r="BB40" s="128"/>
      <c r="BC40" s="128"/>
      <c r="BD40" s="128"/>
      <c r="BE40" s="128"/>
      <c r="BF40" s="128"/>
      <c r="BG40" s="128"/>
      <c r="BH40" s="128"/>
      <c r="BI40" s="128"/>
      <c r="BJ40" s="129"/>
    </row>
    <row r="41" spans="1:62" s="47" customFormat="1" ht="42" customHeight="1">
      <c r="A41" s="130">
        <v>12</v>
      </c>
      <c r="B41" s="130"/>
      <c r="C41" s="130"/>
      <c r="D41" s="137" t="s">
        <v>248</v>
      </c>
      <c r="E41" s="138"/>
      <c r="F41" s="138"/>
      <c r="G41" s="138"/>
      <c r="H41" s="138"/>
      <c r="I41" s="138"/>
      <c r="J41" s="138"/>
      <c r="K41" s="138"/>
      <c r="L41" s="138"/>
      <c r="M41" s="138"/>
      <c r="N41" s="138"/>
      <c r="O41" s="138"/>
      <c r="P41" s="138"/>
      <c r="Q41" s="138"/>
      <c r="R41" s="138"/>
      <c r="S41" s="138"/>
      <c r="T41" s="139"/>
      <c r="U41" s="131" t="s">
        <v>66</v>
      </c>
      <c r="V41" s="132"/>
      <c r="W41" s="132"/>
      <c r="X41" s="132"/>
      <c r="Y41" s="133"/>
      <c r="Z41" s="131">
        <v>3</v>
      </c>
      <c r="AA41" s="132"/>
      <c r="AB41" s="133"/>
      <c r="AC41" s="131"/>
      <c r="AD41" s="132"/>
      <c r="AE41" s="133"/>
      <c r="AF41" s="131"/>
      <c r="AG41" s="132"/>
      <c r="AH41" s="133"/>
      <c r="AI41" s="131"/>
      <c r="AJ41" s="132"/>
      <c r="AK41" s="133"/>
      <c r="AL41" s="131"/>
      <c r="AM41" s="132"/>
      <c r="AN41" s="133"/>
      <c r="AO41" s="131"/>
      <c r="AP41" s="132"/>
      <c r="AQ41" s="133"/>
      <c r="AR41" s="127" t="s">
        <v>250</v>
      </c>
      <c r="AS41" s="128"/>
      <c r="AT41" s="128"/>
      <c r="AU41" s="128"/>
      <c r="AV41" s="128"/>
      <c r="AW41" s="128"/>
      <c r="AX41" s="128"/>
      <c r="AY41" s="128"/>
      <c r="AZ41" s="128"/>
      <c r="BA41" s="128"/>
      <c r="BB41" s="128"/>
      <c r="BC41" s="128"/>
      <c r="BD41" s="128"/>
      <c r="BE41" s="128"/>
      <c r="BF41" s="128"/>
      <c r="BG41" s="128"/>
      <c r="BH41" s="128"/>
      <c r="BI41" s="128"/>
      <c r="BJ41" s="129"/>
    </row>
    <row r="42" spans="1:62" s="47" customFormat="1" ht="42" customHeight="1">
      <c r="A42" s="130">
        <v>13</v>
      </c>
      <c r="B42" s="130"/>
      <c r="C42" s="130"/>
      <c r="D42" s="137" t="s">
        <v>249</v>
      </c>
      <c r="E42" s="138"/>
      <c r="F42" s="138"/>
      <c r="G42" s="138"/>
      <c r="H42" s="138"/>
      <c r="I42" s="138"/>
      <c r="J42" s="138"/>
      <c r="K42" s="138"/>
      <c r="L42" s="138"/>
      <c r="M42" s="138"/>
      <c r="N42" s="138"/>
      <c r="O42" s="138"/>
      <c r="P42" s="138"/>
      <c r="Q42" s="138"/>
      <c r="R42" s="138"/>
      <c r="S42" s="138"/>
      <c r="T42" s="139"/>
      <c r="U42" s="131" t="s">
        <v>65</v>
      </c>
      <c r="V42" s="132"/>
      <c r="W42" s="132"/>
      <c r="X42" s="132"/>
      <c r="Y42" s="133"/>
      <c r="Z42" s="131">
        <v>15</v>
      </c>
      <c r="AA42" s="132"/>
      <c r="AB42" s="133"/>
      <c r="AC42" s="131"/>
      <c r="AD42" s="132"/>
      <c r="AE42" s="133"/>
      <c r="AF42" s="131"/>
      <c r="AG42" s="132"/>
      <c r="AH42" s="133"/>
      <c r="AI42" s="131"/>
      <c r="AJ42" s="132"/>
      <c r="AK42" s="133"/>
      <c r="AL42" s="131"/>
      <c r="AM42" s="132"/>
      <c r="AN42" s="133"/>
      <c r="AO42" s="131"/>
      <c r="AP42" s="132"/>
      <c r="AQ42" s="133"/>
      <c r="AR42" s="127" t="s">
        <v>251</v>
      </c>
      <c r="AS42" s="128"/>
      <c r="AT42" s="128"/>
      <c r="AU42" s="128"/>
      <c r="AV42" s="128"/>
      <c r="AW42" s="128"/>
      <c r="AX42" s="128"/>
      <c r="AY42" s="128"/>
      <c r="AZ42" s="128"/>
      <c r="BA42" s="128"/>
      <c r="BB42" s="128"/>
      <c r="BC42" s="128"/>
      <c r="BD42" s="128"/>
      <c r="BE42" s="128"/>
      <c r="BF42" s="128"/>
      <c r="BG42" s="128"/>
      <c r="BH42" s="128"/>
      <c r="BI42" s="128"/>
      <c r="BJ42" s="129"/>
    </row>
    <row r="43" spans="1:62" s="47" customFormat="1" ht="42" customHeight="1">
      <c r="A43" s="130">
        <v>14</v>
      </c>
      <c r="B43" s="130"/>
      <c r="C43" s="130"/>
      <c r="D43" s="137" t="s">
        <v>272</v>
      </c>
      <c r="E43" s="138"/>
      <c r="F43" s="138"/>
      <c r="G43" s="138"/>
      <c r="H43" s="138"/>
      <c r="I43" s="138"/>
      <c r="J43" s="138"/>
      <c r="K43" s="138"/>
      <c r="L43" s="138"/>
      <c r="M43" s="138"/>
      <c r="N43" s="138"/>
      <c r="O43" s="138"/>
      <c r="P43" s="138"/>
      <c r="Q43" s="138"/>
      <c r="R43" s="138"/>
      <c r="S43" s="138"/>
      <c r="T43" s="139"/>
      <c r="U43" s="131" t="s">
        <v>66</v>
      </c>
      <c r="V43" s="132"/>
      <c r="W43" s="132"/>
      <c r="X43" s="132"/>
      <c r="Y43" s="133"/>
      <c r="Z43" s="131">
        <v>4</v>
      </c>
      <c r="AA43" s="132"/>
      <c r="AB43" s="133"/>
      <c r="AC43" s="131"/>
      <c r="AD43" s="132"/>
      <c r="AE43" s="133"/>
      <c r="AF43" s="131"/>
      <c r="AG43" s="132"/>
      <c r="AH43" s="133"/>
      <c r="AI43" s="131"/>
      <c r="AJ43" s="132"/>
      <c r="AK43" s="133"/>
      <c r="AL43" s="131"/>
      <c r="AM43" s="132"/>
      <c r="AN43" s="133"/>
      <c r="AO43" s="131"/>
      <c r="AP43" s="132"/>
      <c r="AQ43" s="133"/>
      <c r="AR43" s="127" t="s">
        <v>273</v>
      </c>
      <c r="AS43" s="128"/>
      <c r="AT43" s="128"/>
      <c r="AU43" s="128"/>
      <c r="AV43" s="128"/>
      <c r="AW43" s="128"/>
      <c r="AX43" s="128"/>
      <c r="AY43" s="128"/>
      <c r="AZ43" s="128"/>
      <c r="BA43" s="128"/>
      <c r="BB43" s="128"/>
      <c r="BC43" s="128"/>
      <c r="BD43" s="128"/>
      <c r="BE43" s="128"/>
      <c r="BF43" s="128"/>
      <c r="BG43" s="128"/>
      <c r="BH43" s="128"/>
      <c r="BI43" s="128"/>
      <c r="BJ43" s="129"/>
    </row>
    <row r="44" spans="1:62" s="47" customFormat="1" ht="42" customHeight="1">
      <c r="A44" s="130">
        <v>15</v>
      </c>
      <c r="B44" s="130"/>
      <c r="C44" s="130"/>
      <c r="D44" s="137" t="s">
        <v>292</v>
      </c>
      <c r="E44" s="138"/>
      <c r="F44" s="138"/>
      <c r="G44" s="138"/>
      <c r="H44" s="138"/>
      <c r="I44" s="138"/>
      <c r="J44" s="138"/>
      <c r="K44" s="138"/>
      <c r="L44" s="138"/>
      <c r="M44" s="138"/>
      <c r="N44" s="138"/>
      <c r="O44" s="138"/>
      <c r="P44" s="138"/>
      <c r="Q44" s="138"/>
      <c r="R44" s="138"/>
      <c r="S44" s="138"/>
      <c r="T44" s="139"/>
      <c r="U44" s="131" t="s">
        <v>65</v>
      </c>
      <c r="V44" s="132"/>
      <c r="W44" s="132"/>
      <c r="X44" s="132"/>
      <c r="Y44" s="133"/>
      <c r="Z44" s="131">
        <v>15</v>
      </c>
      <c r="AA44" s="132"/>
      <c r="AB44" s="133"/>
      <c r="AC44" s="131"/>
      <c r="AD44" s="132"/>
      <c r="AE44" s="133"/>
      <c r="AF44" s="131"/>
      <c r="AG44" s="132"/>
      <c r="AH44" s="133"/>
      <c r="AI44" s="131"/>
      <c r="AJ44" s="132"/>
      <c r="AK44" s="133"/>
      <c r="AL44" s="131"/>
      <c r="AM44" s="132"/>
      <c r="AN44" s="133"/>
      <c r="AO44" s="131"/>
      <c r="AP44" s="132"/>
      <c r="AQ44" s="133"/>
      <c r="AR44" s="127" t="s">
        <v>274</v>
      </c>
      <c r="AS44" s="128"/>
      <c r="AT44" s="128"/>
      <c r="AU44" s="128"/>
      <c r="AV44" s="128"/>
      <c r="AW44" s="128"/>
      <c r="AX44" s="128"/>
      <c r="AY44" s="128"/>
      <c r="AZ44" s="128"/>
      <c r="BA44" s="128"/>
      <c r="BB44" s="128"/>
      <c r="BC44" s="128"/>
      <c r="BD44" s="128"/>
      <c r="BE44" s="128"/>
      <c r="BF44" s="128"/>
      <c r="BG44" s="128"/>
      <c r="BH44" s="128"/>
      <c r="BI44" s="128"/>
      <c r="BJ44" s="129"/>
    </row>
    <row r="45" spans="1:62" s="47" customFormat="1" ht="42" customHeight="1">
      <c r="A45" s="130">
        <v>16</v>
      </c>
      <c r="B45" s="130"/>
      <c r="C45" s="130"/>
      <c r="D45" s="137" t="s">
        <v>59</v>
      </c>
      <c r="E45" s="138"/>
      <c r="F45" s="138"/>
      <c r="G45" s="138"/>
      <c r="H45" s="138"/>
      <c r="I45" s="138"/>
      <c r="J45" s="138"/>
      <c r="K45" s="138"/>
      <c r="L45" s="138"/>
      <c r="M45" s="138"/>
      <c r="N45" s="138"/>
      <c r="O45" s="138"/>
      <c r="P45" s="138"/>
      <c r="Q45" s="138"/>
      <c r="R45" s="138"/>
      <c r="S45" s="138"/>
      <c r="T45" s="139"/>
      <c r="U45" s="131" t="s">
        <v>66</v>
      </c>
      <c r="V45" s="132"/>
      <c r="W45" s="132"/>
      <c r="X45" s="132"/>
      <c r="Y45" s="133"/>
      <c r="Z45" s="131" t="s">
        <v>68</v>
      </c>
      <c r="AA45" s="132"/>
      <c r="AB45" s="133"/>
      <c r="AC45" s="131"/>
      <c r="AD45" s="132"/>
      <c r="AE45" s="133"/>
      <c r="AF45" s="131"/>
      <c r="AG45" s="132"/>
      <c r="AH45" s="133"/>
      <c r="AI45" s="131"/>
      <c r="AJ45" s="132"/>
      <c r="AK45" s="133"/>
      <c r="AL45" s="131"/>
      <c r="AM45" s="132"/>
      <c r="AN45" s="133"/>
      <c r="AO45" s="131"/>
      <c r="AP45" s="132"/>
      <c r="AQ45" s="133"/>
      <c r="AR45" s="127" t="s">
        <v>96</v>
      </c>
      <c r="AS45" s="128"/>
      <c r="AT45" s="128"/>
      <c r="AU45" s="128"/>
      <c r="AV45" s="128"/>
      <c r="AW45" s="128"/>
      <c r="AX45" s="128"/>
      <c r="AY45" s="128"/>
      <c r="AZ45" s="128"/>
      <c r="BA45" s="128"/>
      <c r="BB45" s="128"/>
      <c r="BC45" s="128"/>
      <c r="BD45" s="128"/>
      <c r="BE45" s="128"/>
      <c r="BF45" s="128"/>
      <c r="BG45" s="128"/>
      <c r="BH45" s="128"/>
      <c r="BI45" s="128"/>
      <c r="BJ45" s="129"/>
    </row>
    <row r="46" spans="1:62" s="47" customFormat="1" ht="42" customHeight="1">
      <c r="A46" s="130">
        <v>17</v>
      </c>
      <c r="B46" s="130"/>
      <c r="C46" s="130"/>
      <c r="D46" s="137" t="s">
        <v>60</v>
      </c>
      <c r="E46" s="138"/>
      <c r="F46" s="138"/>
      <c r="G46" s="138"/>
      <c r="H46" s="138"/>
      <c r="I46" s="138"/>
      <c r="J46" s="138"/>
      <c r="K46" s="138"/>
      <c r="L46" s="138"/>
      <c r="M46" s="138"/>
      <c r="N46" s="138"/>
      <c r="O46" s="138"/>
      <c r="P46" s="138"/>
      <c r="Q46" s="138"/>
      <c r="R46" s="138"/>
      <c r="S46" s="138"/>
      <c r="T46" s="139"/>
      <c r="U46" s="131" t="s">
        <v>65</v>
      </c>
      <c r="V46" s="132"/>
      <c r="W46" s="132"/>
      <c r="X46" s="132"/>
      <c r="Y46" s="133"/>
      <c r="Z46" s="131">
        <v>10</v>
      </c>
      <c r="AA46" s="132"/>
      <c r="AB46" s="133"/>
      <c r="AC46" s="131"/>
      <c r="AD46" s="132"/>
      <c r="AE46" s="133"/>
      <c r="AF46" s="131"/>
      <c r="AG46" s="132"/>
      <c r="AH46" s="133"/>
      <c r="AI46" s="131"/>
      <c r="AJ46" s="132"/>
      <c r="AK46" s="133"/>
      <c r="AL46" s="131"/>
      <c r="AM46" s="132"/>
      <c r="AN46" s="133"/>
      <c r="AO46" s="131"/>
      <c r="AP46" s="132"/>
      <c r="AQ46" s="133"/>
      <c r="AR46" s="127" t="s">
        <v>97</v>
      </c>
      <c r="AS46" s="128"/>
      <c r="AT46" s="128"/>
      <c r="AU46" s="128"/>
      <c r="AV46" s="128"/>
      <c r="AW46" s="128"/>
      <c r="AX46" s="128"/>
      <c r="AY46" s="128"/>
      <c r="AZ46" s="128"/>
      <c r="BA46" s="128"/>
      <c r="BB46" s="128"/>
      <c r="BC46" s="128"/>
      <c r="BD46" s="128"/>
      <c r="BE46" s="128"/>
      <c r="BF46" s="128"/>
      <c r="BG46" s="128"/>
      <c r="BH46" s="128"/>
      <c r="BI46" s="128"/>
      <c r="BJ46" s="129"/>
    </row>
    <row r="47" spans="1:62" s="47" customFormat="1" ht="111" customHeight="1">
      <c r="A47" s="116">
        <v>18</v>
      </c>
      <c r="B47" s="116"/>
      <c r="C47" s="116"/>
      <c r="D47" s="140" t="s">
        <v>293</v>
      </c>
      <c r="E47" s="141"/>
      <c r="F47" s="141"/>
      <c r="G47" s="141"/>
      <c r="H47" s="141"/>
      <c r="I47" s="141"/>
      <c r="J47" s="141"/>
      <c r="K47" s="141"/>
      <c r="L47" s="141"/>
      <c r="M47" s="141"/>
      <c r="N47" s="141"/>
      <c r="O47" s="141"/>
      <c r="P47" s="141"/>
      <c r="Q47" s="141"/>
      <c r="R47" s="141"/>
      <c r="S47" s="141"/>
      <c r="T47" s="142"/>
      <c r="U47" s="120" t="s">
        <v>66</v>
      </c>
      <c r="V47" s="121"/>
      <c r="W47" s="121"/>
      <c r="X47" s="121"/>
      <c r="Y47" s="122"/>
      <c r="Z47" s="120">
        <v>4</v>
      </c>
      <c r="AA47" s="121"/>
      <c r="AB47" s="122"/>
      <c r="AC47" s="120"/>
      <c r="AD47" s="121"/>
      <c r="AE47" s="122"/>
      <c r="AF47" s="120"/>
      <c r="AG47" s="121"/>
      <c r="AH47" s="122"/>
      <c r="AI47" s="120"/>
      <c r="AJ47" s="121"/>
      <c r="AK47" s="122"/>
      <c r="AL47" s="120"/>
      <c r="AM47" s="121"/>
      <c r="AN47" s="122"/>
      <c r="AO47" s="120"/>
      <c r="AP47" s="121"/>
      <c r="AQ47" s="122"/>
      <c r="AR47" s="149" t="s">
        <v>164</v>
      </c>
      <c r="AS47" s="150"/>
      <c r="AT47" s="150"/>
      <c r="AU47" s="150"/>
      <c r="AV47" s="150"/>
      <c r="AW47" s="150"/>
      <c r="AX47" s="150"/>
      <c r="AY47" s="150"/>
      <c r="AZ47" s="150"/>
      <c r="BA47" s="150"/>
      <c r="BB47" s="150"/>
      <c r="BC47" s="150"/>
      <c r="BD47" s="150"/>
      <c r="BE47" s="150"/>
      <c r="BF47" s="150"/>
      <c r="BG47" s="150"/>
      <c r="BH47" s="150"/>
      <c r="BI47" s="150"/>
      <c r="BJ47" s="151"/>
    </row>
    <row r="48" spans="1:62" s="47" customFormat="1" ht="145.19999999999999" customHeight="1">
      <c r="A48" s="114">
        <v>19</v>
      </c>
      <c r="B48" s="114"/>
      <c r="C48" s="114"/>
      <c r="D48" s="152" t="s">
        <v>294</v>
      </c>
      <c r="E48" s="153"/>
      <c r="F48" s="153"/>
      <c r="G48" s="153"/>
      <c r="H48" s="153"/>
      <c r="I48" s="153"/>
      <c r="J48" s="153"/>
      <c r="K48" s="153"/>
      <c r="L48" s="153"/>
      <c r="M48" s="153"/>
      <c r="N48" s="153"/>
      <c r="O48" s="153"/>
      <c r="P48" s="153"/>
      <c r="Q48" s="153"/>
      <c r="R48" s="153"/>
      <c r="S48" s="153"/>
      <c r="T48" s="154"/>
      <c r="U48" s="143" t="s">
        <v>65</v>
      </c>
      <c r="V48" s="144"/>
      <c r="W48" s="144"/>
      <c r="X48" s="144"/>
      <c r="Y48" s="145"/>
      <c r="Z48" s="143">
        <v>25</v>
      </c>
      <c r="AA48" s="144"/>
      <c r="AB48" s="145"/>
      <c r="AC48" s="143"/>
      <c r="AD48" s="144"/>
      <c r="AE48" s="145"/>
      <c r="AF48" s="143"/>
      <c r="AG48" s="144"/>
      <c r="AH48" s="145"/>
      <c r="AI48" s="143"/>
      <c r="AJ48" s="144"/>
      <c r="AK48" s="145"/>
      <c r="AL48" s="143"/>
      <c r="AM48" s="144"/>
      <c r="AN48" s="145"/>
      <c r="AO48" s="143"/>
      <c r="AP48" s="144"/>
      <c r="AQ48" s="145"/>
      <c r="AR48" s="146" t="s">
        <v>165</v>
      </c>
      <c r="AS48" s="147"/>
      <c r="AT48" s="147"/>
      <c r="AU48" s="147"/>
      <c r="AV48" s="147"/>
      <c r="AW48" s="147"/>
      <c r="AX48" s="147"/>
      <c r="AY48" s="147"/>
      <c r="AZ48" s="147"/>
      <c r="BA48" s="147"/>
      <c r="BB48" s="147"/>
      <c r="BC48" s="147"/>
      <c r="BD48" s="147"/>
      <c r="BE48" s="147"/>
      <c r="BF48" s="147"/>
      <c r="BG48" s="147"/>
      <c r="BH48" s="147"/>
      <c r="BI48" s="147"/>
      <c r="BJ48" s="148"/>
    </row>
    <row r="49" spans="1:62" s="47" customFormat="1" ht="52.95" customHeight="1">
      <c r="A49" s="130">
        <v>20</v>
      </c>
      <c r="B49" s="130"/>
      <c r="C49" s="130"/>
      <c r="D49" s="137" t="s">
        <v>100</v>
      </c>
      <c r="E49" s="138"/>
      <c r="F49" s="138"/>
      <c r="G49" s="138"/>
      <c r="H49" s="138"/>
      <c r="I49" s="138"/>
      <c r="J49" s="138"/>
      <c r="K49" s="138"/>
      <c r="L49" s="138"/>
      <c r="M49" s="138"/>
      <c r="N49" s="138"/>
      <c r="O49" s="138"/>
      <c r="P49" s="138"/>
      <c r="Q49" s="138"/>
      <c r="R49" s="138"/>
      <c r="S49" s="138"/>
      <c r="T49" s="139"/>
      <c r="U49" s="131" t="s">
        <v>66</v>
      </c>
      <c r="V49" s="132"/>
      <c r="W49" s="132"/>
      <c r="X49" s="132"/>
      <c r="Y49" s="133"/>
      <c r="Z49" s="131">
        <v>3</v>
      </c>
      <c r="AA49" s="132"/>
      <c r="AB49" s="133"/>
      <c r="AC49" s="131"/>
      <c r="AD49" s="132"/>
      <c r="AE49" s="133"/>
      <c r="AF49" s="131"/>
      <c r="AG49" s="132"/>
      <c r="AH49" s="133"/>
      <c r="AI49" s="131"/>
      <c r="AJ49" s="132"/>
      <c r="AK49" s="133"/>
      <c r="AL49" s="131"/>
      <c r="AM49" s="132"/>
      <c r="AN49" s="133"/>
      <c r="AO49" s="131"/>
      <c r="AP49" s="132"/>
      <c r="AQ49" s="133"/>
      <c r="AR49" s="127" t="s">
        <v>106</v>
      </c>
      <c r="AS49" s="128"/>
      <c r="AT49" s="128"/>
      <c r="AU49" s="128"/>
      <c r="AV49" s="128"/>
      <c r="AW49" s="128"/>
      <c r="AX49" s="128"/>
      <c r="AY49" s="128"/>
      <c r="AZ49" s="128"/>
      <c r="BA49" s="128"/>
      <c r="BB49" s="128"/>
      <c r="BC49" s="128"/>
      <c r="BD49" s="128"/>
      <c r="BE49" s="128"/>
      <c r="BF49" s="128"/>
      <c r="BG49" s="128"/>
      <c r="BH49" s="128"/>
      <c r="BI49" s="128"/>
      <c r="BJ49" s="129"/>
    </row>
    <row r="50" spans="1:62" s="47" customFormat="1" ht="61.2" customHeight="1">
      <c r="A50" s="130">
        <v>21</v>
      </c>
      <c r="B50" s="130"/>
      <c r="C50" s="130"/>
      <c r="D50" s="137" t="s">
        <v>102</v>
      </c>
      <c r="E50" s="138"/>
      <c r="F50" s="138"/>
      <c r="G50" s="138"/>
      <c r="H50" s="138"/>
      <c r="I50" s="138"/>
      <c r="J50" s="138"/>
      <c r="K50" s="138"/>
      <c r="L50" s="138"/>
      <c r="M50" s="138"/>
      <c r="N50" s="138"/>
      <c r="O50" s="138"/>
      <c r="P50" s="138"/>
      <c r="Q50" s="138"/>
      <c r="R50" s="138"/>
      <c r="S50" s="138"/>
      <c r="T50" s="139"/>
      <c r="U50" s="131" t="s">
        <v>65</v>
      </c>
      <c r="V50" s="132"/>
      <c r="W50" s="132"/>
      <c r="X50" s="132"/>
      <c r="Y50" s="133"/>
      <c r="Z50" s="131">
        <v>10</v>
      </c>
      <c r="AA50" s="132"/>
      <c r="AB50" s="133"/>
      <c r="AC50" s="131"/>
      <c r="AD50" s="132"/>
      <c r="AE50" s="133"/>
      <c r="AF50" s="131"/>
      <c r="AG50" s="132"/>
      <c r="AH50" s="133"/>
      <c r="AI50" s="131"/>
      <c r="AJ50" s="132"/>
      <c r="AK50" s="133"/>
      <c r="AL50" s="131"/>
      <c r="AM50" s="132"/>
      <c r="AN50" s="133"/>
      <c r="AO50" s="131"/>
      <c r="AP50" s="132"/>
      <c r="AQ50" s="133"/>
      <c r="AR50" s="127" t="s">
        <v>107</v>
      </c>
      <c r="AS50" s="128"/>
      <c r="AT50" s="128"/>
      <c r="AU50" s="128"/>
      <c r="AV50" s="128"/>
      <c r="AW50" s="128"/>
      <c r="AX50" s="128"/>
      <c r="AY50" s="128"/>
      <c r="AZ50" s="128"/>
      <c r="BA50" s="128"/>
      <c r="BB50" s="128"/>
      <c r="BC50" s="128"/>
      <c r="BD50" s="128"/>
      <c r="BE50" s="128"/>
      <c r="BF50" s="128"/>
      <c r="BG50" s="128"/>
      <c r="BH50" s="128"/>
      <c r="BI50" s="128"/>
      <c r="BJ50" s="129"/>
    </row>
    <row r="51" spans="1:62" s="47" customFormat="1" ht="69" customHeight="1">
      <c r="A51" s="130">
        <v>22</v>
      </c>
      <c r="B51" s="130"/>
      <c r="C51" s="130"/>
      <c r="D51" s="137" t="s">
        <v>61</v>
      </c>
      <c r="E51" s="138"/>
      <c r="F51" s="138"/>
      <c r="G51" s="138"/>
      <c r="H51" s="138"/>
      <c r="I51" s="138"/>
      <c r="J51" s="138"/>
      <c r="K51" s="138"/>
      <c r="L51" s="138"/>
      <c r="M51" s="138"/>
      <c r="N51" s="138"/>
      <c r="O51" s="138"/>
      <c r="P51" s="138"/>
      <c r="Q51" s="138"/>
      <c r="R51" s="138"/>
      <c r="S51" s="138"/>
      <c r="T51" s="139"/>
      <c r="U51" s="131" t="s">
        <v>66</v>
      </c>
      <c r="V51" s="132"/>
      <c r="W51" s="132"/>
      <c r="X51" s="132"/>
      <c r="Y51" s="133"/>
      <c r="Z51" s="131" t="s">
        <v>69</v>
      </c>
      <c r="AA51" s="132"/>
      <c r="AB51" s="133"/>
      <c r="AC51" s="131"/>
      <c r="AD51" s="132"/>
      <c r="AE51" s="133"/>
      <c r="AF51" s="131"/>
      <c r="AG51" s="132"/>
      <c r="AH51" s="133"/>
      <c r="AI51" s="131"/>
      <c r="AJ51" s="132"/>
      <c r="AK51" s="133"/>
      <c r="AL51" s="131"/>
      <c r="AM51" s="132"/>
      <c r="AN51" s="133"/>
      <c r="AO51" s="131"/>
      <c r="AP51" s="132"/>
      <c r="AQ51" s="133"/>
      <c r="AR51" s="127" t="s">
        <v>80</v>
      </c>
      <c r="AS51" s="128"/>
      <c r="AT51" s="128"/>
      <c r="AU51" s="128"/>
      <c r="AV51" s="128"/>
      <c r="AW51" s="128"/>
      <c r="AX51" s="128"/>
      <c r="AY51" s="128"/>
      <c r="AZ51" s="128"/>
      <c r="BA51" s="128"/>
      <c r="BB51" s="128"/>
      <c r="BC51" s="128"/>
      <c r="BD51" s="128"/>
      <c r="BE51" s="128"/>
      <c r="BF51" s="128"/>
      <c r="BG51" s="128"/>
      <c r="BH51" s="128"/>
      <c r="BI51" s="128"/>
      <c r="BJ51" s="129"/>
    </row>
    <row r="52" spans="1:62" s="47" customFormat="1" ht="120" customHeight="1">
      <c r="A52" s="130">
        <v>23</v>
      </c>
      <c r="B52" s="130"/>
      <c r="C52" s="130"/>
      <c r="D52" s="137" t="s">
        <v>62</v>
      </c>
      <c r="E52" s="138"/>
      <c r="F52" s="138"/>
      <c r="G52" s="138"/>
      <c r="H52" s="138"/>
      <c r="I52" s="138"/>
      <c r="J52" s="138"/>
      <c r="K52" s="138"/>
      <c r="L52" s="138"/>
      <c r="M52" s="138"/>
      <c r="N52" s="138"/>
      <c r="O52" s="138"/>
      <c r="P52" s="138"/>
      <c r="Q52" s="138"/>
      <c r="R52" s="138"/>
      <c r="S52" s="138"/>
      <c r="T52" s="139"/>
      <c r="U52" s="131" t="s">
        <v>66</v>
      </c>
      <c r="V52" s="132"/>
      <c r="W52" s="132"/>
      <c r="X52" s="132"/>
      <c r="Y52" s="133"/>
      <c r="Z52" s="131" t="s">
        <v>67</v>
      </c>
      <c r="AA52" s="132"/>
      <c r="AB52" s="133"/>
      <c r="AC52" s="131"/>
      <c r="AD52" s="132"/>
      <c r="AE52" s="133"/>
      <c r="AF52" s="131"/>
      <c r="AG52" s="132"/>
      <c r="AH52" s="133"/>
      <c r="AI52" s="131"/>
      <c r="AJ52" s="132"/>
      <c r="AK52" s="133"/>
      <c r="AL52" s="131"/>
      <c r="AM52" s="132"/>
      <c r="AN52" s="133"/>
      <c r="AO52" s="131"/>
      <c r="AP52" s="132"/>
      <c r="AQ52" s="133"/>
      <c r="AR52" s="127" t="s">
        <v>275</v>
      </c>
      <c r="AS52" s="128"/>
      <c r="AT52" s="128"/>
      <c r="AU52" s="128"/>
      <c r="AV52" s="128"/>
      <c r="AW52" s="128"/>
      <c r="AX52" s="128"/>
      <c r="AY52" s="128"/>
      <c r="AZ52" s="128"/>
      <c r="BA52" s="128"/>
      <c r="BB52" s="128"/>
      <c r="BC52" s="128"/>
      <c r="BD52" s="128"/>
      <c r="BE52" s="128"/>
      <c r="BF52" s="128"/>
      <c r="BG52" s="128"/>
      <c r="BH52" s="128"/>
      <c r="BI52" s="128"/>
      <c r="BJ52" s="129"/>
    </row>
    <row r="53" spans="1:62" s="47" customFormat="1" ht="45" customHeight="1">
      <c r="A53" s="116">
        <v>24</v>
      </c>
      <c r="B53" s="116"/>
      <c r="C53" s="116"/>
      <c r="D53" s="140" t="s">
        <v>63</v>
      </c>
      <c r="E53" s="141"/>
      <c r="F53" s="141"/>
      <c r="G53" s="141"/>
      <c r="H53" s="141"/>
      <c r="I53" s="141"/>
      <c r="J53" s="141"/>
      <c r="K53" s="141"/>
      <c r="L53" s="141"/>
      <c r="M53" s="141"/>
      <c r="N53" s="141"/>
      <c r="O53" s="141"/>
      <c r="P53" s="141"/>
      <c r="Q53" s="141"/>
      <c r="R53" s="141"/>
      <c r="S53" s="141"/>
      <c r="T53" s="142"/>
      <c r="U53" s="120" t="s">
        <v>65</v>
      </c>
      <c r="V53" s="121"/>
      <c r="W53" s="121"/>
      <c r="X53" s="121"/>
      <c r="Y53" s="122"/>
      <c r="Z53" s="120">
        <v>14</v>
      </c>
      <c r="AA53" s="121"/>
      <c r="AB53" s="122"/>
      <c r="AC53" s="120"/>
      <c r="AD53" s="121"/>
      <c r="AE53" s="122"/>
      <c r="AF53" s="120"/>
      <c r="AG53" s="121"/>
      <c r="AH53" s="122"/>
      <c r="AI53" s="120"/>
      <c r="AJ53" s="121"/>
      <c r="AK53" s="122"/>
      <c r="AL53" s="120"/>
      <c r="AM53" s="121"/>
      <c r="AN53" s="122"/>
      <c r="AO53" s="120"/>
      <c r="AP53" s="121"/>
      <c r="AQ53" s="122"/>
      <c r="AR53" s="149" t="s">
        <v>81</v>
      </c>
      <c r="AS53" s="150"/>
      <c r="AT53" s="150"/>
      <c r="AU53" s="150"/>
      <c r="AV53" s="150"/>
      <c r="AW53" s="150"/>
      <c r="AX53" s="150"/>
      <c r="AY53" s="150"/>
      <c r="AZ53" s="150"/>
      <c r="BA53" s="150"/>
      <c r="BB53" s="150"/>
      <c r="BC53" s="150"/>
      <c r="BD53" s="150"/>
      <c r="BE53" s="150"/>
      <c r="BF53" s="150"/>
      <c r="BG53" s="150"/>
      <c r="BH53" s="150"/>
      <c r="BI53" s="150"/>
      <c r="BJ53" s="151"/>
    </row>
    <row r="54" spans="1:62" s="47" customFormat="1" ht="205.8" customHeight="1">
      <c r="A54" s="114">
        <v>25</v>
      </c>
      <c r="B54" s="114"/>
      <c r="C54" s="114"/>
      <c r="D54" s="152" t="s">
        <v>181</v>
      </c>
      <c r="E54" s="153"/>
      <c r="F54" s="153"/>
      <c r="G54" s="153"/>
      <c r="H54" s="153"/>
      <c r="I54" s="153"/>
      <c r="J54" s="153"/>
      <c r="K54" s="153"/>
      <c r="L54" s="153"/>
      <c r="M54" s="153"/>
      <c r="N54" s="153"/>
      <c r="O54" s="153"/>
      <c r="P54" s="153"/>
      <c r="Q54" s="153"/>
      <c r="R54" s="153"/>
      <c r="S54" s="153"/>
      <c r="T54" s="154"/>
      <c r="U54" s="143" t="s">
        <v>103</v>
      </c>
      <c r="V54" s="144"/>
      <c r="W54" s="144"/>
      <c r="X54" s="144"/>
      <c r="Y54" s="145"/>
      <c r="Z54" s="143">
        <v>14</v>
      </c>
      <c r="AA54" s="144"/>
      <c r="AB54" s="145"/>
      <c r="AC54" s="143" t="s">
        <v>35</v>
      </c>
      <c r="AD54" s="144"/>
      <c r="AE54" s="145"/>
      <c r="AF54" s="143"/>
      <c r="AG54" s="144"/>
      <c r="AH54" s="145"/>
      <c r="AI54" s="143"/>
      <c r="AJ54" s="144"/>
      <c r="AK54" s="145"/>
      <c r="AL54" s="143"/>
      <c r="AM54" s="144"/>
      <c r="AN54" s="145"/>
      <c r="AO54" s="143"/>
      <c r="AP54" s="144"/>
      <c r="AQ54" s="145"/>
      <c r="AR54" s="146" t="s">
        <v>306</v>
      </c>
      <c r="AS54" s="147"/>
      <c r="AT54" s="147"/>
      <c r="AU54" s="147"/>
      <c r="AV54" s="147"/>
      <c r="AW54" s="147"/>
      <c r="AX54" s="147"/>
      <c r="AY54" s="147"/>
      <c r="AZ54" s="147"/>
      <c r="BA54" s="147"/>
      <c r="BB54" s="147"/>
      <c r="BC54" s="147"/>
      <c r="BD54" s="147"/>
      <c r="BE54" s="147"/>
      <c r="BF54" s="147"/>
      <c r="BG54" s="147"/>
      <c r="BH54" s="147"/>
      <c r="BI54" s="147"/>
      <c r="BJ54" s="148"/>
    </row>
    <row r="55" spans="1:62" s="47" customFormat="1" ht="93" customHeight="1">
      <c r="A55" s="130">
        <v>26</v>
      </c>
      <c r="B55" s="130"/>
      <c r="C55" s="130"/>
      <c r="D55" s="137" t="s">
        <v>180</v>
      </c>
      <c r="E55" s="138"/>
      <c r="F55" s="138"/>
      <c r="G55" s="138"/>
      <c r="H55" s="138"/>
      <c r="I55" s="138"/>
      <c r="J55" s="138"/>
      <c r="K55" s="138"/>
      <c r="L55" s="138"/>
      <c r="M55" s="138"/>
      <c r="N55" s="138"/>
      <c r="O55" s="138"/>
      <c r="P55" s="138"/>
      <c r="Q55" s="138"/>
      <c r="R55" s="138"/>
      <c r="S55" s="138"/>
      <c r="T55" s="139"/>
      <c r="U55" s="131" t="s">
        <v>64</v>
      </c>
      <c r="V55" s="132"/>
      <c r="W55" s="132"/>
      <c r="X55" s="132"/>
      <c r="Y55" s="133"/>
      <c r="Z55" s="131">
        <v>14</v>
      </c>
      <c r="AA55" s="132"/>
      <c r="AB55" s="133"/>
      <c r="AC55" s="131" t="s">
        <v>35</v>
      </c>
      <c r="AD55" s="132"/>
      <c r="AE55" s="133"/>
      <c r="AF55" s="131"/>
      <c r="AG55" s="132"/>
      <c r="AH55" s="133"/>
      <c r="AI55" s="131"/>
      <c r="AJ55" s="132"/>
      <c r="AK55" s="133"/>
      <c r="AL55" s="131"/>
      <c r="AM55" s="132"/>
      <c r="AN55" s="133"/>
      <c r="AO55" s="131"/>
      <c r="AP55" s="132"/>
      <c r="AQ55" s="133"/>
      <c r="AR55" s="127" t="s">
        <v>312</v>
      </c>
      <c r="AS55" s="128"/>
      <c r="AT55" s="128"/>
      <c r="AU55" s="128"/>
      <c r="AV55" s="128"/>
      <c r="AW55" s="128"/>
      <c r="AX55" s="128"/>
      <c r="AY55" s="128"/>
      <c r="AZ55" s="128"/>
      <c r="BA55" s="128"/>
      <c r="BB55" s="128"/>
      <c r="BC55" s="128"/>
      <c r="BD55" s="128"/>
      <c r="BE55" s="128"/>
      <c r="BF55" s="128"/>
      <c r="BG55" s="128"/>
      <c r="BH55" s="128"/>
      <c r="BI55" s="128"/>
      <c r="BJ55" s="129"/>
    </row>
    <row r="56" spans="1:62" s="47" customFormat="1" ht="173.4" customHeight="1">
      <c r="A56" s="116">
        <v>27</v>
      </c>
      <c r="B56" s="116"/>
      <c r="C56" s="116"/>
      <c r="D56" s="140" t="s">
        <v>170</v>
      </c>
      <c r="E56" s="141"/>
      <c r="F56" s="141"/>
      <c r="G56" s="141"/>
      <c r="H56" s="141"/>
      <c r="I56" s="141"/>
      <c r="J56" s="141"/>
      <c r="K56" s="141"/>
      <c r="L56" s="141"/>
      <c r="M56" s="141"/>
      <c r="N56" s="141"/>
      <c r="O56" s="141"/>
      <c r="P56" s="141"/>
      <c r="Q56" s="141"/>
      <c r="R56" s="141"/>
      <c r="S56" s="141"/>
      <c r="T56" s="142"/>
      <c r="U56" s="120" t="s">
        <v>64</v>
      </c>
      <c r="V56" s="121"/>
      <c r="W56" s="121"/>
      <c r="X56" s="121"/>
      <c r="Y56" s="122"/>
      <c r="Z56" s="120" t="s">
        <v>319</v>
      </c>
      <c r="AA56" s="121"/>
      <c r="AB56" s="122"/>
      <c r="AC56" s="120" t="s">
        <v>35</v>
      </c>
      <c r="AD56" s="121"/>
      <c r="AE56" s="122"/>
      <c r="AF56" s="120"/>
      <c r="AG56" s="121"/>
      <c r="AH56" s="122"/>
      <c r="AI56" s="120"/>
      <c r="AJ56" s="121"/>
      <c r="AK56" s="122"/>
      <c r="AL56" s="120"/>
      <c r="AM56" s="121"/>
      <c r="AN56" s="122"/>
      <c r="AO56" s="120"/>
      <c r="AP56" s="121"/>
      <c r="AQ56" s="122"/>
      <c r="AR56" s="149" t="s">
        <v>307</v>
      </c>
      <c r="AS56" s="150"/>
      <c r="AT56" s="150"/>
      <c r="AU56" s="150"/>
      <c r="AV56" s="150"/>
      <c r="AW56" s="150"/>
      <c r="AX56" s="150"/>
      <c r="AY56" s="150"/>
      <c r="AZ56" s="150"/>
      <c r="BA56" s="150"/>
      <c r="BB56" s="150"/>
      <c r="BC56" s="150"/>
      <c r="BD56" s="150"/>
      <c r="BE56" s="150"/>
      <c r="BF56" s="150"/>
      <c r="BG56" s="150"/>
      <c r="BH56" s="150"/>
      <c r="BI56" s="150"/>
      <c r="BJ56" s="151"/>
    </row>
    <row r="57" spans="1:62" s="47" customFormat="1" ht="104.4" customHeight="1">
      <c r="A57" s="114">
        <v>28</v>
      </c>
      <c r="B57" s="114"/>
      <c r="C57" s="114"/>
      <c r="D57" s="152" t="s">
        <v>171</v>
      </c>
      <c r="E57" s="153"/>
      <c r="F57" s="153"/>
      <c r="G57" s="153"/>
      <c r="H57" s="153"/>
      <c r="I57" s="153"/>
      <c r="J57" s="153"/>
      <c r="K57" s="153"/>
      <c r="L57" s="153"/>
      <c r="M57" s="153"/>
      <c r="N57" s="153"/>
      <c r="O57" s="153"/>
      <c r="P57" s="153"/>
      <c r="Q57" s="153"/>
      <c r="R57" s="153"/>
      <c r="S57" s="153"/>
      <c r="T57" s="154"/>
      <c r="U57" s="143" t="s">
        <v>64</v>
      </c>
      <c r="V57" s="144"/>
      <c r="W57" s="144"/>
      <c r="X57" s="144"/>
      <c r="Y57" s="145"/>
      <c r="Z57" s="143">
        <v>14</v>
      </c>
      <c r="AA57" s="144"/>
      <c r="AB57" s="145"/>
      <c r="AC57" s="143" t="s">
        <v>35</v>
      </c>
      <c r="AD57" s="144"/>
      <c r="AE57" s="145"/>
      <c r="AF57" s="143"/>
      <c r="AG57" s="144"/>
      <c r="AH57" s="145"/>
      <c r="AI57" s="143"/>
      <c r="AJ57" s="144"/>
      <c r="AK57" s="145"/>
      <c r="AL57" s="143"/>
      <c r="AM57" s="144"/>
      <c r="AN57" s="145"/>
      <c r="AO57" s="143"/>
      <c r="AP57" s="144"/>
      <c r="AQ57" s="145"/>
      <c r="AR57" s="146" t="s">
        <v>313</v>
      </c>
      <c r="AS57" s="147"/>
      <c r="AT57" s="147"/>
      <c r="AU57" s="147"/>
      <c r="AV57" s="147"/>
      <c r="AW57" s="147"/>
      <c r="AX57" s="147"/>
      <c r="AY57" s="147"/>
      <c r="AZ57" s="147"/>
      <c r="BA57" s="147"/>
      <c r="BB57" s="147"/>
      <c r="BC57" s="147"/>
      <c r="BD57" s="147"/>
      <c r="BE57" s="147"/>
      <c r="BF57" s="147"/>
      <c r="BG57" s="147"/>
      <c r="BH57" s="147"/>
      <c r="BI57" s="147"/>
      <c r="BJ57" s="148"/>
    </row>
    <row r="58" spans="1:62" s="47" customFormat="1" ht="168" customHeight="1">
      <c r="A58" s="130">
        <v>29</v>
      </c>
      <c r="B58" s="130"/>
      <c r="C58" s="130"/>
      <c r="D58" s="137" t="s">
        <v>172</v>
      </c>
      <c r="E58" s="138"/>
      <c r="F58" s="138"/>
      <c r="G58" s="138"/>
      <c r="H58" s="138"/>
      <c r="I58" s="138"/>
      <c r="J58" s="138"/>
      <c r="K58" s="138"/>
      <c r="L58" s="138"/>
      <c r="M58" s="138"/>
      <c r="N58" s="138"/>
      <c r="O58" s="138"/>
      <c r="P58" s="138"/>
      <c r="Q58" s="138"/>
      <c r="R58" s="138"/>
      <c r="S58" s="138"/>
      <c r="T58" s="139"/>
      <c r="U58" s="120" t="s">
        <v>64</v>
      </c>
      <c r="V58" s="121"/>
      <c r="W58" s="121"/>
      <c r="X58" s="121"/>
      <c r="Y58" s="122"/>
      <c r="Z58" s="120" t="s">
        <v>319</v>
      </c>
      <c r="AA58" s="121"/>
      <c r="AB58" s="122"/>
      <c r="AC58" s="120" t="s">
        <v>35</v>
      </c>
      <c r="AD58" s="121"/>
      <c r="AE58" s="122"/>
      <c r="AF58" s="131"/>
      <c r="AG58" s="132"/>
      <c r="AH58" s="133"/>
      <c r="AI58" s="131"/>
      <c r="AJ58" s="132"/>
      <c r="AK58" s="133"/>
      <c r="AL58" s="131"/>
      <c r="AM58" s="132"/>
      <c r="AN58" s="133"/>
      <c r="AO58" s="131"/>
      <c r="AP58" s="132"/>
      <c r="AQ58" s="133"/>
      <c r="AR58" s="127" t="s">
        <v>308</v>
      </c>
      <c r="AS58" s="128"/>
      <c r="AT58" s="128"/>
      <c r="AU58" s="128"/>
      <c r="AV58" s="128"/>
      <c r="AW58" s="128"/>
      <c r="AX58" s="128"/>
      <c r="AY58" s="128"/>
      <c r="AZ58" s="128"/>
      <c r="BA58" s="128"/>
      <c r="BB58" s="128"/>
      <c r="BC58" s="128"/>
      <c r="BD58" s="128"/>
      <c r="BE58" s="128"/>
      <c r="BF58" s="128"/>
      <c r="BG58" s="128"/>
      <c r="BH58" s="128"/>
      <c r="BI58" s="128"/>
      <c r="BJ58" s="129"/>
    </row>
    <row r="59" spans="1:62" s="47" customFormat="1" ht="196.95" customHeight="1">
      <c r="A59" s="116">
        <v>30</v>
      </c>
      <c r="B59" s="116"/>
      <c r="C59" s="116"/>
      <c r="D59" s="140" t="s">
        <v>173</v>
      </c>
      <c r="E59" s="141"/>
      <c r="F59" s="141"/>
      <c r="G59" s="141"/>
      <c r="H59" s="141"/>
      <c r="I59" s="141"/>
      <c r="J59" s="141"/>
      <c r="K59" s="141"/>
      <c r="L59" s="141"/>
      <c r="M59" s="141"/>
      <c r="N59" s="141"/>
      <c r="O59" s="141"/>
      <c r="P59" s="141"/>
      <c r="Q59" s="141"/>
      <c r="R59" s="141"/>
      <c r="S59" s="141"/>
      <c r="T59" s="142"/>
      <c r="U59" s="120" t="s">
        <v>64</v>
      </c>
      <c r="V59" s="121"/>
      <c r="W59" s="121"/>
      <c r="X59" s="121"/>
      <c r="Y59" s="122"/>
      <c r="Z59" s="120">
        <v>14</v>
      </c>
      <c r="AA59" s="121"/>
      <c r="AB59" s="122"/>
      <c r="AC59" s="120" t="s">
        <v>35</v>
      </c>
      <c r="AD59" s="121"/>
      <c r="AE59" s="122"/>
      <c r="AF59" s="120"/>
      <c r="AG59" s="121"/>
      <c r="AH59" s="122"/>
      <c r="AI59" s="120"/>
      <c r="AJ59" s="121"/>
      <c r="AK59" s="122"/>
      <c r="AL59" s="120"/>
      <c r="AM59" s="121"/>
      <c r="AN59" s="122"/>
      <c r="AO59" s="120"/>
      <c r="AP59" s="121"/>
      <c r="AQ59" s="122"/>
      <c r="AR59" s="149" t="s">
        <v>314</v>
      </c>
      <c r="AS59" s="150"/>
      <c r="AT59" s="150"/>
      <c r="AU59" s="150"/>
      <c r="AV59" s="150"/>
      <c r="AW59" s="150"/>
      <c r="AX59" s="150"/>
      <c r="AY59" s="150"/>
      <c r="AZ59" s="150"/>
      <c r="BA59" s="150"/>
      <c r="BB59" s="150"/>
      <c r="BC59" s="150"/>
      <c r="BD59" s="150"/>
      <c r="BE59" s="150"/>
      <c r="BF59" s="150"/>
      <c r="BG59" s="150"/>
      <c r="BH59" s="150"/>
      <c r="BI59" s="150"/>
      <c r="BJ59" s="151"/>
    </row>
    <row r="60" spans="1:62" s="47" customFormat="1" ht="150" customHeight="1">
      <c r="A60" s="114">
        <v>31</v>
      </c>
      <c r="B60" s="114"/>
      <c r="C60" s="114"/>
      <c r="D60" s="152" t="s">
        <v>174</v>
      </c>
      <c r="E60" s="153"/>
      <c r="F60" s="153"/>
      <c r="G60" s="153"/>
      <c r="H60" s="153"/>
      <c r="I60" s="153"/>
      <c r="J60" s="153"/>
      <c r="K60" s="153"/>
      <c r="L60" s="153"/>
      <c r="M60" s="153"/>
      <c r="N60" s="153"/>
      <c r="O60" s="153"/>
      <c r="P60" s="153"/>
      <c r="Q60" s="153"/>
      <c r="R60" s="153"/>
      <c r="S60" s="153"/>
      <c r="T60" s="154"/>
      <c r="U60" s="143" t="s">
        <v>64</v>
      </c>
      <c r="V60" s="144"/>
      <c r="W60" s="144"/>
      <c r="X60" s="144"/>
      <c r="Y60" s="145"/>
      <c r="Z60" s="143">
        <v>14</v>
      </c>
      <c r="AA60" s="144"/>
      <c r="AB60" s="145"/>
      <c r="AC60" s="143" t="s">
        <v>35</v>
      </c>
      <c r="AD60" s="144"/>
      <c r="AE60" s="145"/>
      <c r="AF60" s="143"/>
      <c r="AG60" s="144"/>
      <c r="AH60" s="145"/>
      <c r="AI60" s="143"/>
      <c r="AJ60" s="144"/>
      <c r="AK60" s="145"/>
      <c r="AL60" s="143"/>
      <c r="AM60" s="144"/>
      <c r="AN60" s="145"/>
      <c r="AO60" s="143"/>
      <c r="AP60" s="144"/>
      <c r="AQ60" s="145"/>
      <c r="AR60" s="146" t="s">
        <v>315</v>
      </c>
      <c r="AS60" s="147"/>
      <c r="AT60" s="147"/>
      <c r="AU60" s="147"/>
      <c r="AV60" s="147"/>
      <c r="AW60" s="147"/>
      <c r="AX60" s="147"/>
      <c r="AY60" s="147"/>
      <c r="AZ60" s="147"/>
      <c r="BA60" s="147"/>
      <c r="BB60" s="147"/>
      <c r="BC60" s="147"/>
      <c r="BD60" s="147"/>
      <c r="BE60" s="147"/>
      <c r="BF60" s="147"/>
      <c r="BG60" s="147"/>
      <c r="BH60" s="147"/>
      <c r="BI60" s="147"/>
      <c r="BJ60" s="148"/>
    </row>
    <row r="61" spans="1:62" s="47" customFormat="1" ht="150" customHeight="1">
      <c r="A61" s="130">
        <v>32</v>
      </c>
      <c r="B61" s="130"/>
      <c r="C61" s="130"/>
      <c r="D61" s="137" t="s">
        <v>179</v>
      </c>
      <c r="E61" s="138"/>
      <c r="F61" s="138"/>
      <c r="G61" s="138"/>
      <c r="H61" s="138"/>
      <c r="I61" s="138"/>
      <c r="J61" s="138"/>
      <c r="K61" s="138"/>
      <c r="L61" s="138"/>
      <c r="M61" s="138"/>
      <c r="N61" s="138"/>
      <c r="O61" s="138"/>
      <c r="P61" s="138"/>
      <c r="Q61" s="138"/>
      <c r="R61" s="138"/>
      <c r="S61" s="138"/>
      <c r="T61" s="139"/>
      <c r="U61" s="131" t="s">
        <v>64</v>
      </c>
      <c r="V61" s="132"/>
      <c r="W61" s="132"/>
      <c r="X61" s="132"/>
      <c r="Y61" s="133"/>
      <c r="Z61" s="131">
        <v>14</v>
      </c>
      <c r="AA61" s="132"/>
      <c r="AB61" s="133"/>
      <c r="AC61" s="131" t="s">
        <v>35</v>
      </c>
      <c r="AD61" s="132"/>
      <c r="AE61" s="133"/>
      <c r="AF61" s="131"/>
      <c r="AG61" s="132"/>
      <c r="AH61" s="133"/>
      <c r="AI61" s="131"/>
      <c r="AJ61" s="132"/>
      <c r="AK61" s="133"/>
      <c r="AL61" s="131"/>
      <c r="AM61" s="132"/>
      <c r="AN61" s="133"/>
      <c r="AO61" s="131"/>
      <c r="AP61" s="132"/>
      <c r="AQ61" s="133"/>
      <c r="AR61" s="127" t="s">
        <v>316</v>
      </c>
      <c r="AS61" s="128"/>
      <c r="AT61" s="128"/>
      <c r="AU61" s="128"/>
      <c r="AV61" s="128"/>
      <c r="AW61" s="128"/>
      <c r="AX61" s="128"/>
      <c r="AY61" s="128"/>
      <c r="AZ61" s="128"/>
      <c r="BA61" s="128"/>
      <c r="BB61" s="128"/>
      <c r="BC61" s="128"/>
      <c r="BD61" s="128"/>
      <c r="BE61" s="128"/>
      <c r="BF61" s="128"/>
      <c r="BG61" s="128"/>
      <c r="BH61" s="128"/>
      <c r="BI61" s="128"/>
      <c r="BJ61" s="129"/>
    </row>
    <row r="62" spans="1:62" s="47" customFormat="1" ht="150" customHeight="1">
      <c r="A62" s="116">
        <v>33</v>
      </c>
      <c r="B62" s="116"/>
      <c r="C62" s="116"/>
      <c r="D62" s="140" t="s">
        <v>175</v>
      </c>
      <c r="E62" s="141"/>
      <c r="F62" s="141"/>
      <c r="G62" s="141"/>
      <c r="H62" s="141"/>
      <c r="I62" s="141"/>
      <c r="J62" s="141"/>
      <c r="K62" s="141"/>
      <c r="L62" s="141"/>
      <c r="M62" s="141"/>
      <c r="N62" s="141"/>
      <c r="O62" s="141"/>
      <c r="P62" s="141"/>
      <c r="Q62" s="141"/>
      <c r="R62" s="141"/>
      <c r="S62" s="141"/>
      <c r="T62" s="142"/>
      <c r="U62" s="120" t="s">
        <v>64</v>
      </c>
      <c r="V62" s="121"/>
      <c r="W62" s="121"/>
      <c r="X62" s="121"/>
      <c r="Y62" s="122"/>
      <c r="Z62" s="120">
        <v>14</v>
      </c>
      <c r="AA62" s="121"/>
      <c r="AB62" s="122"/>
      <c r="AC62" s="120" t="s">
        <v>35</v>
      </c>
      <c r="AD62" s="121"/>
      <c r="AE62" s="122"/>
      <c r="AF62" s="120"/>
      <c r="AG62" s="121"/>
      <c r="AH62" s="122"/>
      <c r="AI62" s="120"/>
      <c r="AJ62" s="121"/>
      <c r="AK62" s="122"/>
      <c r="AL62" s="120"/>
      <c r="AM62" s="121"/>
      <c r="AN62" s="122"/>
      <c r="AO62" s="120"/>
      <c r="AP62" s="121"/>
      <c r="AQ62" s="122"/>
      <c r="AR62" s="149" t="s">
        <v>317</v>
      </c>
      <c r="AS62" s="150"/>
      <c r="AT62" s="150"/>
      <c r="AU62" s="150"/>
      <c r="AV62" s="150"/>
      <c r="AW62" s="150"/>
      <c r="AX62" s="150"/>
      <c r="AY62" s="150"/>
      <c r="AZ62" s="150"/>
      <c r="BA62" s="150"/>
      <c r="BB62" s="150"/>
      <c r="BC62" s="150"/>
      <c r="BD62" s="150"/>
      <c r="BE62" s="150"/>
      <c r="BF62" s="150"/>
      <c r="BG62" s="150"/>
      <c r="BH62" s="150"/>
      <c r="BI62" s="150"/>
      <c r="BJ62" s="151"/>
    </row>
    <row r="63" spans="1:62" s="47" customFormat="1" ht="165.6" customHeight="1">
      <c r="A63" s="114">
        <v>34</v>
      </c>
      <c r="B63" s="114"/>
      <c r="C63" s="114"/>
      <c r="D63" s="152" t="s">
        <v>176</v>
      </c>
      <c r="E63" s="153"/>
      <c r="F63" s="153"/>
      <c r="G63" s="153"/>
      <c r="H63" s="153"/>
      <c r="I63" s="153"/>
      <c r="J63" s="153"/>
      <c r="K63" s="153"/>
      <c r="L63" s="153"/>
      <c r="M63" s="153"/>
      <c r="N63" s="153"/>
      <c r="O63" s="153"/>
      <c r="P63" s="153"/>
      <c r="Q63" s="153"/>
      <c r="R63" s="153"/>
      <c r="S63" s="153"/>
      <c r="T63" s="154"/>
      <c r="U63" s="143" t="s">
        <v>64</v>
      </c>
      <c r="V63" s="144"/>
      <c r="W63" s="144"/>
      <c r="X63" s="144"/>
      <c r="Y63" s="145"/>
      <c r="Z63" s="143" t="s">
        <v>319</v>
      </c>
      <c r="AA63" s="144"/>
      <c r="AB63" s="145"/>
      <c r="AC63" s="143" t="s">
        <v>35</v>
      </c>
      <c r="AD63" s="144"/>
      <c r="AE63" s="145"/>
      <c r="AF63" s="143"/>
      <c r="AG63" s="144"/>
      <c r="AH63" s="145"/>
      <c r="AI63" s="143"/>
      <c r="AJ63" s="144"/>
      <c r="AK63" s="145"/>
      <c r="AL63" s="143"/>
      <c r="AM63" s="144"/>
      <c r="AN63" s="145"/>
      <c r="AO63" s="143"/>
      <c r="AP63" s="144"/>
      <c r="AQ63" s="145"/>
      <c r="AR63" s="146" t="s">
        <v>309</v>
      </c>
      <c r="AS63" s="147"/>
      <c r="AT63" s="147"/>
      <c r="AU63" s="147"/>
      <c r="AV63" s="147"/>
      <c r="AW63" s="147"/>
      <c r="AX63" s="147"/>
      <c r="AY63" s="147"/>
      <c r="AZ63" s="147"/>
      <c r="BA63" s="147"/>
      <c r="BB63" s="147"/>
      <c r="BC63" s="147"/>
      <c r="BD63" s="147"/>
      <c r="BE63" s="147"/>
      <c r="BF63" s="147"/>
      <c r="BG63" s="147"/>
      <c r="BH63" s="147"/>
      <c r="BI63" s="147"/>
      <c r="BJ63" s="148"/>
    </row>
    <row r="64" spans="1:62" s="47" customFormat="1" ht="144" customHeight="1">
      <c r="A64" s="130">
        <v>35</v>
      </c>
      <c r="B64" s="130"/>
      <c r="C64" s="130"/>
      <c r="D64" s="137" t="s">
        <v>177</v>
      </c>
      <c r="E64" s="138"/>
      <c r="F64" s="138"/>
      <c r="G64" s="138"/>
      <c r="H64" s="138"/>
      <c r="I64" s="138"/>
      <c r="J64" s="138"/>
      <c r="K64" s="138"/>
      <c r="L64" s="138"/>
      <c r="M64" s="138"/>
      <c r="N64" s="138"/>
      <c r="O64" s="138"/>
      <c r="P64" s="138"/>
      <c r="Q64" s="138"/>
      <c r="R64" s="138"/>
      <c r="S64" s="138"/>
      <c r="T64" s="139"/>
      <c r="U64" s="131" t="s">
        <v>64</v>
      </c>
      <c r="V64" s="132"/>
      <c r="W64" s="132"/>
      <c r="X64" s="132"/>
      <c r="Y64" s="133"/>
      <c r="Z64" s="131">
        <v>14</v>
      </c>
      <c r="AA64" s="132"/>
      <c r="AB64" s="133"/>
      <c r="AC64" s="131" t="s">
        <v>35</v>
      </c>
      <c r="AD64" s="132"/>
      <c r="AE64" s="133"/>
      <c r="AF64" s="131"/>
      <c r="AG64" s="132"/>
      <c r="AH64" s="133"/>
      <c r="AI64" s="131"/>
      <c r="AJ64" s="132"/>
      <c r="AK64" s="133"/>
      <c r="AL64" s="131"/>
      <c r="AM64" s="132"/>
      <c r="AN64" s="133"/>
      <c r="AO64" s="131"/>
      <c r="AP64" s="132"/>
      <c r="AQ64" s="133"/>
      <c r="AR64" s="127" t="s">
        <v>318</v>
      </c>
      <c r="AS64" s="128"/>
      <c r="AT64" s="128"/>
      <c r="AU64" s="128"/>
      <c r="AV64" s="128"/>
      <c r="AW64" s="128"/>
      <c r="AX64" s="128"/>
      <c r="AY64" s="128"/>
      <c r="AZ64" s="128"/>
      <c r="BA64" s="128"/>
      <c r="BB64" s="128"/>
      <c r="BC64" s="128"/>
      <c r="BD64" s="128"/>
      <c r="BE64" s="128"/>
      <c r="BF64" s="128"/>
      <c r="BG64" s="128"/>
      <c r="BH64" s="128"/>
      <c r="BI64" s="128"/>
      <c r="BJ64" s="129"/>
    </row>
    <row r="65" spans="1:62" s="47" customFormat="1" ht="159" customHeight="1">
      <c r="A65" s="116">
        <v>36</v>
      </c>
      <c r="B65" s="116"/>
      <c r="C65" s="116"/>
      <c r="D65" s="140" t="s">
        <v>178</v>
      </c>
      <c r="E65" s="141"/>
      <c r="F65" s="141"/>
      <c r="G65" s="141"/>
      <c r="H65" s="141"/>
      <c r="I65" s="141"/>
      <c r="J65" s="141"/>
      <c r="K65" s="141"/>
      <c r="L65" s="141"/>
      <c r="M65" s="141"/>
      <c r="N65" s="141"/>
      <c r="O65" s="141"/>
      <c r="P65" s="141"/>
      <c r="Q65" s="141"/>
      <c r="R65" s="141"/>
      <c r="S65" s="141"/>
      <c r="T65" s="142"/>
      <c r="U65" s="120" t="s">
        <v>64</v>
      </c>
      <c r="V65" s="121"/>
      <c r="W65" s="121"/>
      <c r="X65" s="121"/>
      <c r="Y65" s="122"/>
      <c r="Z65" s="120" t="s">
        <v>319</v>
      </c>
      <c r="AA65" s="121"/>
      <c r="AB65" s="122"/>
      <c r="AC65" s="120" t="s">
        <v>35</v>
      </c>
      <c r="AD65" s="121"/>
      <c r="AE65" s="122"/>
      <c r="AF65" s="120"/>
      <c r="AG65" s="121"/>
      <c r="AH65" s="122"/>
      <c r="AI65" s="120"/>
      <c r="AJ65" s="121"/>
      <c r="AK65" s="122"/>
      <c r="AL65" s="120"/>
      <c r="AM65" s="121"/>
      <c r="AN65" s="122"/>
      <c r="AO65" s="120"/>
      <c r="AP65" s="121"/>
      <c r="AQ65" s="122"/>
      <c r="AR65" s="149" t="s">
        <v>310</v>
      </c>
      <c r="AS65" s="150"/>
      <c r="AT65" s="150"/>
      <c r="AU65" s="150"/>
      <c r="AV65" s="150"/>
      <c r="AW65" s="150"/>
      <c r="AX65" s="150"/>
      <c r="AY65" s="150"/>
      <c r="AZ65" s="150"/>
      <c r="BA65" s="150"/>
      <c r="BB65" s="150"/>
      <c r="BC65" s="150"/>
      <c r="BD65" s="150"/>
      <c r="BE65" s="150"/>
      <c r="BF65" s="150"/>
      <c r="BG65" s="150"/>
      <c r="BH65" s="150"/>
      <c r="BI65" s="150"/>
      <c r="BJ65" s="151"/>
    </row>
    <row r="66" spans="1:62" s="47" customFormat="1" ht="160.94999999999999" customHeight="1">
      <c r="A66" s="114">
        <v>37</v>
      </c>
      <c r="B66" s="114"/>
      <c r="C66" s="114"/>
      <c r="D66" s="152" t="s">
        <v>105</v>
      </c>
      <c r="E66" s="153"/>
      <c r="F66" s="153"/>
      <c r="G66" s="153"/>
      <c r="H66" s="153"/>
      <c r="I66" s="153"/>
      <c r="J66" s="153"/>
      <c r="K66" s="153"/>
      <c r="L66" s="153"/>
      <c r="M66" s="153"/>
      <c r="N66" s="153"/>
      <c r="O66" s="153"/>
      <c r="P66" s="153"/>
      <c r="Q66" s="153"/>
      <c r="R66" s="153"/>
      <c r="S66" s="153"/>
      <c r="T66" s="154"/>
      <c r="U66" s="158" t="s">
        <v>64</v>
      </c>
      <c r="V66" s="159"/>
      <c r="W66" s="159"/>
      <c r="X66" s="159"/>
      <c r="Y66" s="160"/>
      <c r="Z66" s="158" t="s">
        <v>319</v>
      </c>
      <c r="AA66" s="159"/>
      <c r="AB66" s="160"/>
      <c r="AC66" s="158" t="s">
        <v>35</v>
      </c>
      <c r="AD66" s="159"/>
      <c r="AE66" s="160"/>
      <c r="AF66" s="143"/>
      <c r="AG66" s="144"/>
      <c r="AH66" s="145"/>
      <c r="AI66" s="143"/>
      <c r="AJ66" s="144"/>
      <c r="AK66" s="145"/>
      <c r="AL66" s="143"/>
      <c r="AM66" s="144"/>
      <c r="AN66" s="145"/>
      <c r="AO66" s="143"/>
      <c r="AP66" s="144"/>
      <c r="AQ66" s="145"/>
      <c r="AR66" s="146" t="s">
        <v>311</v>
      </c>
      <c r="AS66" s="147"/>
      <c r="AT66" s="147"/>
      <c r="AU66" s="147"/>
      <c r="AV66" s="147"/>
      <c r="AW66" s="147"/>
      <c r="AX66" s="147"/>
      <c r="AY66" s="147"/>
      <c r="AZ66" s="147"/>
      <c r="BA66" s="147"/>
      <c r="BB66" s="147"/>
      <c r="BC66" s="147"/>
      <c r="BD66" s="147"/>
      <c r="BE66" s="147"/>
      <c r="BF66" s="147"/>
      <c r="BG66" s="147"/>
      <c r="BH66" s="147"/>
      <c r="BI66" s="147"/>
      <c r="BJ66" s="148"/>
    </row>
    <row r="67" spans="1:62" s="47" customFormat="1" ht="64.5" customHeight="1">
      <c r="A67" s="130"/>
      <c r="B67" s="130"/>
      <c r="C67" s="130"/>
      <c r="D67" s="137"/>
      <c r="E67" s="138"/>
      <c r="F67" s="138"/>
      <c r="G67" s="138"/>
      <c r="H67" s="138"/>
      <c r="I67" s="138"/>
      <c r="J67" s="138"/>
      <c r="K67" s="138"/>
      <c r="L67" s="138"/>
      <c r="M67" s="138"/>
      <c r="N67" s="138"/>
      <c r="O67" s="138"/>
      <c r="P67" s="138"/>
      <c r="Q67" s="138"/>
      <c r="R67" s="138"/>
      <c r="S67" s="138"/>
      <c r="T67" s="139"/>
      <c r="U67" s="143"/>
      <c r="V67" s="144"/>
      <c r="W67" s="144"/>
      <c r="X67" s="144"/>
      <c r="Y67" s="145"/>
      <c r="Z67" s="143"/>
      <c r="AA67" s="144"/>
      <c r="AB67" s="145"/>
      <c r="AC67" s="143"/>
      <c r="AD67" s="144"/>
      <c r="AE67" s="145"/>
      <c r="AF67" s="131"/>
      <c r="AG67" s="132"/>
      <c r="AH67" s="133"/>
      <c r="AI67" s="131"/>
      <c r="AJ67" s="132"/>
      <c r="AK67" s="133"/>
      <c r="AL67" s="131"/>
      <c r="AM67" s="132"/>
      <c r="AN67" s="133"/>
      <c r="AO67" s="131"/>
      <c r="AP67" s="132"/>
      <c r="AQ67" s="133"/>
      <c r="AR67" s="127"/>
      <c r="AS67" s="128"/>
      <c r="AT67" s="128"/>
      <c r="AU67" s="128"/>
      <c r="AV67" s="128"/>
      <c r="AW67" s="128"/>
      <c r="AX67" s="128"/>
      <c r="AY67" s="128"/>
      <c r="AZ67" s="128"/>
      <c r="BA67" s="128"/>
      <c r="BB67" s="128"/>
      <c r="BC67" s="128"/>
      <c r="BD67" s="128"/>
      <c r="BE67" s="128"/>
      <c r="BF67" s="128"/>
      <c r="BG67" s="128"/>
      <c r="BH67" s="128"/>
      <c r="BI67" s="128"/>
      <c r="BJ67" s="129"/>
    </row>
    <row r="68" spans="1:62" s="47" customFormat="1" ht="64.5" customHeight="1">
      <c r="A68" s="130"/>
      <c r="B68" s="130"/>
      <c r="C68" s="130"/>
      <c r="D68" s="137"/>
      <c r="E68" s="138"/>
      <c r="F68" s="138"/>
      <c r="G68" s="138"/>
      <c r="H68" s="138"/>
      <c r="I68" s="138"/>
      <c r="J68" s="138"/>
      <c r="K68" s="138"/>
      <c r="L68" s="138"/>
      <c r="M68" s="138"/>
      <c r="N68" s="138"/>
      <c r="O68" s="138"/>
      <c r="P68" s="138"/>
      <c r="Q68" s="138"/>
      <c r="R68" s="138"/>
      <c r="S68" s="138"/>
      <c r="T68" s="139"/>
      <c r="U68" s="131"/>
      <c r="V68" s="132"/>
      <c r="W68" s="132"/>
      <c r="X68" s="132"/>
      <c r="Y68" s="133"/>
      <c r="Z68" s="131"/>
      <c r="AA68" s="132"/>
      <c r="AB68" s="133"/>
      <c r="AC68" s="131"/>
      <c r="AD68" s="132"/>
      <c r="AE68" s="133"/>
      <c r="AF68" s="131"/>
      <c r="AG68" s="132"/>
      <c r="AH68" s="133"/>
      <c r="AI68" s="131"/>
      <c r="AJ68" s="132"/>
      <c r="AK68" s="133"/>
      <c r="AL68" s="131"/>
      <c r="AM68" s="132"/>
      <c r="AN68" s="133"/>
      <c r="AO68" s="131"/>
      <c r="AP68" s="132"/>
      <c r="AQ68" s="133"/>
      <c r="AR68" s="127"/>
      <c r="AS68" s="128"/>
      <c r="AT68" s="128"/>
      <c r="AU68" s="128"/>
      <c r="AV68" s="128"/>
      <c r="AW68" s="128"/>
      <c r="AX68" s="128"/>
      <c r="AY68" s="128"/>
      <c r="AZ68" s="128"/>
      <c r="BA68" s="128"/>
      <c r="BB68" s="128"/>
      <c r="BC68" s="128"/>
      <c r="BD68" s="128"/>
      <c r="BE68" s="128"/>
      <c r="BF68" s="128"/>
      <c r="BG68" s="128"/>
      <c r="BH68" s="128"/>
      <c r="BI68" s="128"/>
      <c r="BJ68" s="129"/>
    </row>
    <row r="69" spans="1:62" s="47" customFormat="1" ht="64.5" customHeight="1">
      <c r="A69" s="130"/>
      <c r="B69" s="130"/>
      <c r="C69" s="130"/>
      <c r="D69" s="134"/>
      <c r="E69" s="135"/>
      <c r="F69" s="135"/>
      <c r="G69" s="135"/>
      <c r="H69" s="135"/>
      <c r="I69" s="135"/>
      <c r="J69" s="135"/>
      <c r="K69" s="135"/>
      <c r="L69" s="135"/>
      <c r="M69" s="135"/>
      <c r="N69" s="135"/>
      <c r="O69" s="135"/>
      <c r="P69" s="135"/>
      <c r="Q69" s="135"/>
      <c r="R69" s="135"/>
      <c r="S69" s="135"/>
      <c r="T69" s="136"/>
      <c r="U69" s="131"/>
      <c r="V69" s="132"/>
      <c r="W69" s="132"/>
      <c r="X69" s="132"/>
      <c r="Y69" s="133"/>
      <c r="Z69" s="131"/>
      <c r="AA69" s="132"/>
      <c r="AB69" s="133"/>
      <c r="AC69" s="131"/>
      <c r="AD69" s="132"/>
      <c r="AE69" s="133"/>
      <c r="AF69" s="131"/>
      <c r="AG69" s="132"/>
      <c r="AH69" s="133"/>
      <c r="AI69" s="131"/>
      <c r="AJ69" s="132"/>
      <c r="AK69" s="133"/>
      <c r="AL69" s="131"/>
      <c r="AM69" s="132"/>
      <c r="AN69" s="133"/>
      <c r="AO69" s="131"/>
      <c r="AP69" s="132"/>
      <c r="AQ69" s="133"/>
      <c r="AR69" s="127"/>
      <c r="AS69" s="128"/>
      <c r="AT69" s="128"/>
      <c r="AU69" s="128"/>
      <c r="AV69" s="128"/>
      <c r="AW69" s="128"/>
      <c r="AX69" s="128"/>
      <c r="AY69" s="128"/>
      <c r="AZ69" s="128"/>
      <c r="BA69" s="128"/>
      <c r="BB69" s="128"/>
      <c r="BC69" s="128"/>
      <c r="BD69" s="128"/>
      <c r="BE69" s="128"/>
      <c r="BF69" s="128"/>
      <c r="BG69" s="128"/>
      <c r="BH69" s="128"/>
      <c r="BI69" s="128"/>
      <c r="BJ69" s="129"/>
    </row>
    <row r="70" spans="1:62" s="47" customFormat="1" ht="64.5" customHeight="1">
      <c r="A70" s="130"/>
      <c r="B70" s="130"/>
      <c r="C70" s="130"/>
      <c r="D70" s="134"/>
      <c r="E70" s="135"/>
      <c r="F70" s="135"/>
      <c r="G70" s="135"/>
      <c r="H70" s="135"/>
      <c r="I70" s="135"/>
      <c r="J70" s="135"/>
      <c r="K70" s="135"/>
      <c r="L70" s="135"/>
      <c r="M70" s="135"/>
      <c r="N70" s="135"/>
      <c r="O70" s="135"/>
      <c r="P70" s="135"/>
      <c r="Q70" s="135"/>
      <c r="R70" s="135"/>
      <c r="S70" s="135"/>
      <c r="T70" s="136"/>
      <c r="U70" s="131"/>
      <c r="V70" s="132"/>
      <c r="W70" s="132"/>
      <c r="X70" s="132"/>
      <c r="Y70" s="133"/>
      <c r="Z70" s="131"/>
      <c r="AA70" s="132"/>
      <c r="AB70" s="133"/>
      <c r="AC70" s="131"/>
      <c r="AD70" s="132"/>
      <c r="AE70" s="133"/>
      <c r="AF70" s="131"/>
      <c r="AG70" s="132"/>
      <c r="AH70" s="133"/>
      <c r="AI70" s="131"/>
      <c r="AJ70" s="132"/>
      <c r="AK70" s="133"/>
      <c r="AL70" s="131"/>
      <c r="AM70" s="132"/>
      <c r="AN70" s="133"/>
      <c r="AO70" s="131"/>
      <c r="AP70" s="132"/>
      <c r="AQ70" s="133"/>
      <c r="AR70" s="127"/>
      <c r="AS70" s="128"/>
      <c r="AT70" s="128"/>
      <c r="AU70" s="128"/>
      <c r="AV70" s="128"/>
      <c r="AW70" s="128"/>
      <c r="AX70" s="128"/>
      <c r="AY70" s="128"/>
      <c r="AZ70" s="128"/>
      <c r="BA70" s="128"/>
      <c r="BB70" s="128"/>
      <c r="BC70" s="128"/>
      <c r="BD70" s="128"/>
      <c r="BE70" s="128"/>
      <c r="BF70" s="128"/>
      <c r="BG70" s="128"/>
      <c r="BH70" s="128"/>
      <c r="BI70" s="128"/>
      <c r="BJ70" s="129"/>
    </row>
    <row r="71" spans="1:62" s="47" customFormat="1" ht="64.5" customHeight="1">
      <c r="A71" s="116"/>
      <c r="B71" s="116"/>
      <c r="C71" s="116"/>
      <c r="D71" s="117"/>
      <c r="E71" s="118"/>
      <c r="F71" s="118"/>
      <c r="G71" s="118"/>
      <c r="H71" s="118"/>
      <c r="I71" s="118"/>
      <c r="J71" s="118"/>
      <c r="K71" s="118"/>
      <c r="L71" s="118"/>
      <c r="M71" s="118"/>
      <c r="N71" s="118"/>
      <c r="O71" s="118"/>
      <c r="P71" s="118"/>
      <c r="Q71" s="118"/>
      <c r="R71" s="118"/>
      <c r="S71" s="118"/>
      <c r="T71" s="119"/>
      <c r="U71" s="120"/>
      <c r="V71" s="121"/>
      <c r="W71" s="121"/>
      <c r="X71" s="121"/>
      <c r="Y71" s="122"/>
      <c r="Z71" s="120"/>
      <c r="AA71" s="121"/>
      <c r="AB71" s="122"/>
      <c r="AC71" s="120"/>
      <c r="AD71" s="121"/>
      <c r="AE71" s="122"/>
      <c r="AF71" s="120"/>
      <c r="AG71" s="121"/>
      <c r="AH71" s="122"/>
      <c r="AI71" s="120"/>
      <c r="AJ71" s="121"/>
      <c r="AK71" s="122"/>
      <c r="AL71" s="120"/>
      <c r="AM71" s="121"/>
      <c r="AN71" s="122"/>
      <c r="AO71" s="120"/>
      <c r="AP71" s="121"/>
      <c r="AQ71" s="122"/>
      <c r="AR71" s="149"/>
      <c r="AS71" s="150"/>
      <c r="AT71" s="150"/>
      <c r="AU71" s="150"/>
      <c r="AV71" s="150"/>
      <c r="AW71" s="150"/>
      <c r="AX71" s="150"/>
      <c r="AY71" s="150"/>
      <c r="AZ71" s="150"/>
      <c r="BA71" s="150"/>
      <c r="BB71" s="150"/>
      <c r="BC71" s="150"/>
      <c r="BD71" s="150"/>
      <c r="BE71" s="150"/>
      <c r="BF71" s="150"/>
      <c r="BG71" s="150"/>
      <c r="BH71" s="150"/>
      <c r="BI71" s="150"/>
      <c r="BJ71" s="151"/>
    </row>
    <row r="72" spans="1:62" ht="6.6" customHeight="1"/>
  </sheetData>
  <mergeCells count="503">
    <mergeCell ref="Z48:AB48"/>
    <mergeCell ref="AC48:AE48"/>
    <mergeCell ref="AF48:AH48"/>
    <mergeCell ref="AI48:AK48"/>
    <mergeCell ref="AL48:AN48"/>
    <mergeCell ref="AO48:AQ48"/>
    <mergeCell ref="AR48:BJ48"/>
    <mergeCell ref="A47:C47"/>
    <mergeCell ref="D47:T47"/>
    <mergeCell ref="U47:Y47"/>
    <mergeCell ref="Z47:AB47"/>
    <mergeCell ref="AC47:AE47"/>
    <mergeCell ref="AF47:AH47"/>
    <mergeCell ref="AI47:AK47"/>
    <mergeCell ref="AL47:AN47"/>
    <mergeCell ref="AO47:AQ47"/>
    <mergeCell ref="AR65:BJ65"/>
    <mergeCell ref="A66:C66"/>
    <mergeCell ref="D66:T66"/>
    <mergeCell ref="AR67:BJ67"/>
    <mergeCell ref="U66:Y66"/>
    <mergeCell ref="Z66:AB66"/>
    <mergeCell ref="AC66:AE66"/>
    <mergeCell ref="AF66:AH66"/>
    <mergeCell ref="AI66:AK66"/>
    <mergeCell ref="AL66:AN66"/>
    <mergeCell ref="AO66:AQ66"/>
    <mergeCell ref="AR66:BJ66"/>
    <mergeCell ref="A65:C65"/>
    <mergeCell ref="D65:T65"/>
    <mergeCell ref="A67:C67"/>
    <mergeCell ref="D67:T67"/>
    <mergeCell ref="U67:Y67"/>
    <mergeCell ref="Z67:AB67"/>
    <mergeCell ref="AC67:AE67"/>
    <mergeCell ref="AF67:AH67"/>
    <mergeCell ref="AI67:AK67"/>
    <mergeCell ref="AL67:AN67"/>
    <mergeCell ref="AO67:AQ67"/>
    <mergeCell ref="AL65:AN65"/>
    <mergeCell ref="AR63:BJ63"/>
    <mergeCell ref="A64:C64"/>
    <mergeCell ref="D64:T64"/>
    <mergeCell ref="U64:Y64"/>
    <mergeCell ref="Z64:AB64"/>
    <mergeCell ref="AC64:AE64"/>
    <mergeCell ref="AF64:AH64"/>
    <mergeCell ref="AI64:AK64"/>
    <mergeCell ref="AL64:AN64"/>
    <mergeCell ref="AO64:AQ64"/>
    <mergeCell ref="AR64:BJ64"/>
    <mergeCell ref="D63:T63"/>
    <mergeCell ref="U63:Y63"/>
    <mergeCell ref="A63:C63"/>
    <mergeCell ref="AO65:AQ65"/>
    <mergeCell ref="Z63:AB63"/>
    <mergeCell ref="AC63:AE63"/>
    <mergeCell ref="AF63:AH63"/>
    <mergeCell ref="AI63:AK63"/>
    <mergeCell ref="AL63:AN63"/>
    <mergeCell ref="AO63:AQ63"/>
    <mergeCell ref="U65:Y65"/>
    <mergeCell ref="Z65:AB65"/>
    <mergeCell ref="AC65:AE65"/>
    <mergeCell ref="AF65:AH65"/>
    <mergeCell ref="AI65:AK65"/>
    <mergeCell ref="AR61:BJ61"/>
    <mergeCell ref="A62:C62"/>
    <mergeCell ref="D62:T62"/>
    <mergeCell ref="U62:Y62"/>
    <mergeCell ref="Z62:AB62"/>
    <mergeCell ref="AC62:AE62"/>
    <mergeCell ref="AF62:AH62"/>
    <mergeCell ref="AI62:AK62"/>
    <mergeCell ref="AL62:AN62"/>
    <mergeCell ref="AO62:AQ62"/>
    <mergeCell ref="AR62:BJ62"/>
    <mergeCell ref="A61:C61"/>
    <mergeCell ref="D61:T61"/>
    <mergeCell ref="U61:Y61"/>
    <mergeCell ref="Z61:AB61"/>
    <mergeCell ref="AC61:AE61"/>
    <mergeCell ref="AF61:AH61"/>
    <mergeCell ref="AI61:AK61"/>
    <mergeCell ref="AL61:AN61"/>
    <mergeCell ref="AO61:AQ61"/>
    <mergeCell ref="A70:C70"/>
    <mergeCell ref="A71:C71"/>
    <mergeCell ref="AL68:AN68"/>
    <mergeCell ref="AO68:AQ68"/>
    <mergeCell ref="AR68:BJ68"/>
    <mergeCell ref="A69:C69"/>
    <mergeCell ref="D69:T69"/>
    <mergeCell ref="U69:Y69"/>
    <mergeCell ref="Z69:AB69"/>
    <mergeCell ref="AC69:AE69"/>
    <mergeCell ref="AF69:AH69"/>
    <mergeCell ref="AI69:AK69"/>
    <mergeCell ref="AL69:AN69"/>
    <mergeCell ref="AO69:AQ69"/>
    <mergeCell ref="AR69:BJ69"/>
    <mergeCell ref="A68:C68"/>
    <mergeCell ref="D68:T68"/>
    <mergeCell ref="U68:Y68"/>
    <mergeCell ref="Z68:AB68"/>
    <mergeCell ref="AC68:AE68"/>
    <mergeCell ref="AF68:AH68"/>
    <mergeCell ref="AI68:AK68"/>
    <mergeCell ref="AR70:BJ70"/>
    <mergeCell ref="AR71:BJ71"/>
    <mergeCell ref="D70:T70"/>
    <mergeCell ref="U70:Y70"/>
    <mergeCell ref="Z70:AB70"/>
    <mergeCell ref="AC70:AE70"/>
    <mergeCell ref="AF70:AH70"/>
    <mergeCell ref="AI70:AK70"/>
    <mergeCell ref="AL70:AN70"/>
    <mergeCell ref="AO70:AQ70"/>
    <mergeCell ref="D71:T71"/>
    <mergeCell ref="U71:Y71"/>
    <mergeCell ref="Z71:AB71"/>
    <mergeCell ref="AC71:AE71"/>
    <mergeCell ref="AF71:AH71"/>
    <mergeCell ref="AI71:AK71"/>
    <mergeCell ref="AL71:AN71"/>
    <mergeCell ref="AO71:AQ71"/>
    <mergeCell ref="AR60:BJ60"/>
    <mergeCell ref="A57:C57"/>
    <mergeCell ref="AR57:BJ57"/>
    <mergeCell ref="A58:C58"/>
    <mergeCell ref="AR58:BJ58"/>
    <mergeCell ref="A59:C59"/>
    <mergeCell ref="AR59:BJ59"/>
    <mergeCell ref="D58:T58"/>
    <mergeCell ref="U58:Y58"/>
    <mergeCell ref="Z58:AB58"/>
    <mergeCell ref="AC58:AE58"/>
    <mergeCell ref="AF58:AH58"/>
    <mergeCell ref="AI58:AK58"/>
    <mergeCell ref="AL58:AN58"/>
    <mergeCell ref="AO58:AQ58"/>
    <mergeCell ref="D59:T59"/>
    <mergeCell ref="A60:C60"/>
    <mergeCell ref="AI57:AK57"/>
    <mergeCell ref="AL57:AN57"/>
    <mergeCell ref="AO57:AQ57"/>
    <mergeCell ref="AF59:AH59"/>
    <mergeCell ref="AI59:AK59"/>
    <mergeCell ref="U59:Y59"/>
    <mergeCell ref="Z59:AB59"/>
    <mergeCell ref="A56:C56"/>
    <mergeCell ref="D56:T56"/>
    <mergeCell ref="U56:Y56"/>
    <mergeCell ref="Z56:AB56"/>
    <mergeCell ref="AC56:AE56"/>
    <mergeCell ref="AF56:AH56"/>
    <mergeCell ref="AI56:AK56"/>
    <mergeCell ref="AL56:AN56"/>
    <mergeCell ref="AO56:AQ56"/>
    <mergeCell ref="A55:C55"/>
    <mergeCell ref="AR55:BJ55"/>
    <mergeCell ref="A46:C46"/>
    <mergeCell ref="AR46:BJ46"/>
    <mergeCell ref="A51:C51"/>
    <mergeCell ref="AR51:BJ51"/>
    <mergeCell ref="A54:C54"/>
    <mergeCell ref="D46:T46"/>
    <mergeCell ref="U46:Y46"/>
    <mergeCell ref="Z46:AB46"/>
    <mergeCell ref="AC46:AE46"/>
    <mergeCell ref="AF46:AH46"/>
    <mergeCell ref="AI46:AK46"/>
    <mergeCell ref="AL46:AN46"/>
    <mergeCell ref="AO46:AQ46"/>
    <mergeCell ref="D51:T51"/>
    <mergeCell ref="U51:Y51"/>
    <mergeCell ref="Z51:AB51"/>
    <mergeCell ref="AC51:AE51"/>
    <mergeCell ref="AF55:AH55"/>
    <mergeCell ref="AR47:BJ47"/>
    <mergeCell ref="A48:C48"/>
    <mergeCell ref="D48:T48"/>
    <mergeCell ref="U48:Y48"/>
    <mergeCell ref="AR39:BJ39"/>
    <mergeCell ref="A40:C40"/>
    <mergeCell ref="AR40:BJ40"/>
    <mergeCell ref="A45:C45"/>
    <mergeCell ref="AR45:BJ45"/>
    <mergeCell ref="A36:C36"/>
    <mergeCell ref="AR36:BJ36"/>
    <mergeCell ref="A37:C37"/>
    <mergeCell ref="AR37:BJ37"/>
    <mergeCell ref="A38:C38"/>
    <mergeCell ref="AR38:BJ38"/>
    <mergeCell ref="D37:T37"/>
    <mergeCell ref="U37:Y37"/>
    <mergeCell ref="Z37:AB37"/>
    <mergeCell ref="AC37:AE37"/>
    <mergeCell ref="AF37:AH37"/>
    <mergeCell ref="AI37:AK37"/>
    <mergeCell ref="AL37:AN37"/>
    <mergeCell ref="AO37:AQ37"/>
    <mergeCell ref="D38:T38"/>
    <mergeCell ref="U38:Y38"/>
    <mergeCell ref="Z38:AB38"/>
    <mergeCell ref="AC38:AE38"/>
    <mergeCell ref="D39:T39"/>
    <mergeCell ref="A39:C39"/>
    <mergeCell ref="U39:Y39"/>
    <mergeCell ref="Z39:AB39"/>
    <mergeCell ref="AC39:AE39"/>
    <mergeCell ref="AF39:AH39"/>
    <mergeCell ref="AI39:AK39"/>
    <mergeCell ref="AL39:AN39"/>
    <mergeCell ref="AO39:AQ39"/>
    <mergeCell ref="AF38:AH38"/>
    <mergeCell ref="AI38:AK38"/>
    <mergeCell ref="AL38:AN38"/>
    <mergeCell ref="AO38:AQ38"/>
    <mergeCell ref="BC2:BF2"/>
    <mergeCell ref="BG2:BJ2"/>
    <mergeCell ref="A3:H4"/>
    <mergeCell ref="I3:AS4"/>
    <mergeCell ref="AT3:AX3"/>
    <mergeCell ref="AY3:BJ3"/>
    <mergeCell ref="AT4:AX4"/>
    <mergeCell ref="A35:C35"/>
    <mergeCell ref="AR35:BJ35"/>
    <mergeCell ref="AI29:AK29"/>
    <mergeCell ref="AL29:AN29"/>
    <mergeCell ref="AO29:AQ29"/>
    <mergeCell ref="A30:C30"/>
    <mergeCell ref="AR30:BJ30"/>
    <mergeCell ref="A31:C31"/>
    <mergeCell ref="AR31:BJ31"/>
    <mergeCell ref="A29:C29"/>
    <mergeCell ref="D29:T29"/>
    <mergeCell ref="U29:Y29"/>
    <mergeCell ref="Z29:AB29"/>
    <mergeCell ref="AC29:AE29"/>
    <mergeCell ref="AF29:AH29"/>
    <mergeCell ref="AR29:BJ29"/>
    <mergeCell ref="D30:T30"/>
    <mergeCell ref="A34:C34"/>
    <mergeCell ref="L7:AJ7"/>
    <mergeCell ref="AK7:AR7"/>
    <mergeCell ref="AO30:AQ30"/>
    <mergeCell ref="D31:T31"/>
    <mergeCell ref="U31:Y31"/>
    <mergeCell ref="A2:AS2"/>
    <mergeCell ref="AT2:AX2"/>
    <mergeCell ref="AY2:BB2"/>
    <mergeCell ref="U30:Y30"/>
    <mergeCell ref="Z30:AB30"/>
    <mergeCell ref="AC30:AE30"/>
    <mergeCell ref="AF31:AH31"/>
    <mergeCell ref="AF30:AH30"/>
    <mergeCell ref="AI30:AK30"/>
    <mergeCell ref="AL30:AN30"/>
    <mergeCell ref="AS7:AX7"/>
    <mergeCell ref="Z31:AB31"/>
    <mergeCell ref="AC31:AE31"/>
    <mergeCell ref="AI31:AK31"/>
    <mergeCell ref="AL31:AN31"/>
    <mergeCell ref="AO31:AQ31"/>
    <mergeCell ref="A10:C10"/>
    <mergeCell ref="D10:AR10"/>
    <mergeCell ref="BC7:BD7"/>
    <mergeCell ref="BI7:BJ7"/>
    <mergeCell ref="AY4:BJ4"/>
    <mergeCell ref="A6:K6"/>
    <mergeCell ref="L6:AA6"/>
    <mergeCell ref="AB6:AJ6"/>
    <mergeCell ref="AK6:AN6"/>
    <mergeCell ref="AO6:AW6"/>
    <mergeCell ref="AX6:BA6"/>
    <mergeCell ref="BB6:BE6"/>
    <mergeCell ref="BF6:BJ6"/>
    <mergeCell ref="BE7:BH7"/>
    <mergeCell ref="A7:K7"/>
    <mergeCell ref="D35:T35"/>
    <mergeCell ref="U35:Y35"/>
    <mergeCell ref="Z35:AB35"/>
    <mergeCell ref="AC35:AE35"/>
    <mergeCell ref="AF35:AH35"/>
    <mergeCell ref="AI35:AK35"/>
    <mergeCell ref="AL35:AN35"/>
    <mergeCell ref="AO35:AQ35"/>
    <mergeCell ref="AR34:BJ34"/>
    <mergeCell ref="AF34:AH34"/>
    <mergeCell ref="AI34:AK34"/>
    <mergeCell ref="AL34:AN34"/>
    <mergeCell ref="AO34:AQ34"/>
    <mergeCell ref="D34:T34"/>
    <mergeCell ref="U34:Y34"/>
    <mergeCell ref="Z34:AB34"/>
    <mergeCell ref="AC34:AE34"/>
    <mergeCell ref="D36:T36"/>
    <mergeCell ref="U36:Y36"/>
    <mergeCell ref="Z36:AB36"/>
    <mergeCell ref="AC36:AE36"/>
    <mergeCell ref="AF36:AH36"/>
    <mergeCell ref="AI36:AK36"/>
    <mergeCell ref="AL36:AN36"/>
    <mergeCell ref="AO36:AQ36"/>
    <mergeCell ref="D40:T40"/>
    <mergeCell ref="U40:Y40"/>
    <mergeCell ref="Z40:AB40"/>
    <mergeCell ref="AC40:AE40"/>
    <mergeCell ref="AF40:AH40"/>
    <mergeCell ref="AI40:AK40"/>
    <mergeCell ref="AL40:AN40"/>
    <mergeCell ref="AO40:AQ40"/>
    <mergeCell ref="D45:T45"/>
    <mergeCell ref="U45:Y45"/>
    <mergeCell ref="Z45:AB45"/>
    <mergeCell ref="AC45:AE45"/>
    <mergeCell ref="AF45:AH45"/>
    <mergeCell ref="AI45:AK45"/>
    <mergeCell ref="AL45:AN45"/>
    <mergeCell ref="AO45:AQ45"/>
    <mergeCell ref="U41:Y41"/>
    <mergeCell ref="Z41:AB41"/>
    <mergeCell ref="AC41:AE41"/>
    <mergeCell ref="AF41:AH41"/>
    <mergeCell ref="AI41:AK41"/>
    <mergeCell ref="AL41:AN41"/>
    <mergeCell ref="AO41:AQ41"/>
    <mergeCell ref="D55:T55"/>
    <mergeCell ref="U55:Y55"/>
    <mergeCell ref="Z55:AB55"/>
    <mergeCell ref="AC55:AE55"/>
    <mergeCell ref="AL59:AN59"/>
    <mergeCell ref="AO59:AQ59"/>
    <mergeCell ref="D60:T60"/>
    <mergeCell ref="U60:Y60"/>
    <mergeCell ref="Z60:AB60"/>
    <mergeCell ref="AC60:AE60"/>
    <mergeCell ref="AC59:AE59"/>
    <mergeCell ref="D57:T57"/>
    <mergeCell ref="U57:Y57"/>
    <mergeCell ref="Z57:AB57"/>
    <mergeCell ref="AC57:AE57"/>
    <mergeCell ref="AF57:AH57"/>
    <mergeCell ref="AL60:AN60"/>
    <mergeCell ref="AF60:AH60"/>
    <mergeCell ref="AI60:AK60"/>
    <mergeCell ref="AI53:AK53"/>
    <mergeCell ref="AL53:AN53"/>
    <mergeCell ref="AO53:AQ53"/>
    <mergeCell ref="AR53:BJ53"/>
    <mergeCell ref="D54:T54"/>
    <mergeCell ref="U54:Y54"/>
    <mergeCell ref="Z54:AB54"/>
    <mergeCell ref="AC54:AE54"/>
    <mergeCell ref="AF54:AH54"/>
    <mergeCell ref="AI54:AK54"/>
    <mergeCell ref="AL54:AN54"/>
    <mergeCell ref="AO54:AQ54"/>
    <mergeCell ref="A53:C53"/>
    <mergeCell ref="D53:T53"/>
    <mergeCell ref="U53:Y53"/>
    <mergeCell ref="Z53:AB53"/>
    <mergeCell ref="AC53:AE53"/>
    <mergeCell ref="AO60:AQ60"/>
    <mergeCell ref="AR49:BJ49"/>
    <mergeCell ref="AR50:BJ50"/>
    <mergeCell ref="AI55:AK55"/>
    <mergeCell ref="AL55:AN55"/>
    <mergeCell ref="AO55:AQ55"/>
    <mergeCell ref="AF51:AH51"/>
    <mergeCell ref="AI51:AK51"/>
    <mergeCell ref="AL51:AN51"/>
    <mergeCell ref="AO51:AQ51"/>
    <mergeCell ref="AO50:AQ50"/>
    <mergeCell ref="AR54:BJ54"/>
    <mergeCell ref="AR56:BJ56"/>
    <mergeCell ref="AF52:AH52"/>
    <mergeCell ref="AI52:AK52"/>
    <mergeCell ref="AL52:AN52"/>
    <mergeCell ref="AO52:AQ52"/>
    <mergeCell ref="AR52:BJ52"/>
    <mergeCell ref="AF53:AH53"/>
    <mergeCell ref="A50:C50"/>
    <mergeCell ref="D50:T50"/>
    <mergeCell ref="U50:Y50"/>
    <mergeCell ref="Z50:AB50"/>
    <mergeCell ref="AC50:AE50"/>
    <mergeCell ref="AF50:AH50"/>
    <mergeCell ref="AI50:AK50"/>
    <mergeCell ref="AL50:AN50"/>
    <mergeCell ref="A52:C52"/>
    <mergeCell ref="D52:T52"/>
    <mergeCell ref="U52:Y52"/>
    <mergeCell ref="Z52:AB52"/>
    <mergeCell ref="AC52:AE52"/>
    <mergeCell ref="A49:C49"/>
    <mergeCell ref="D49:T49"/>
    <mergeCell ref="U49:Y49"/>
    <mergeCell ref="Z49:AB49"/>
    <mergeCell ref="AC49:AE49"/>
    <mergeCell ref="AF49:AH49"/>
    <mergeCell ref="AI49:AK49"/>
    <mergeCell ref="AL49:AN49"/>
    <mergeCell ref="AO49:AQ49"/>
    <mergeCell ref="AR44:BJ44"/>
    <mergeCell ref="A43:C43"/>
    <mergeCell ref="D43:T43"/>
    <mergeCell ref="U43:Y43"/>
    <mergeCell ref="Z43:AB43"/>
    <mergeCell ref="AC43:AE43"/>
    <mergeCell ref="AF43:AH43"/>
    <mergeCell ref="AI43:AK43"/>
    <mergeCell ref="AL43:AN43"/>
    <mergeCell ref="AO43:AQ43"/>
    <mergeCell ref="AR43:BJ43"/>
    <mergeCell ref="A44:C44"/>
    <mergeCell ref="D44:T44"/>
    <mergeCell ref="U44:Y44"/>
    <mergeCell ref="Z44:AB44"/>
    <mergeCell ref="AC44:AE44"/>
    <mergeCell ref="AF44:AH44"/>
    <mergeCell ref="AI44:AK44"/>
    <mergeCell ref="AL44:AN44"/>
    <mergeCell ref="AO44:AQ44"/>
    <mergeCell ref="A42:C42"/>
    <mergeCell ref="D42:T42"/>
    <mergeCell ref="U42:Y42"/>
    <mergeCell ref="Z42:AB42"/>
    <mergeCell ref="AC42:AE42"/>
    <mergeCell ref="AF42:AH42"/>
    <mergeCell ref="AI42:AK42"/>
    <mergeCell ref="AL42:AN42"/>
    <mergeCell ref="AO42:AQ42"/>
    <mergeCell ref="AR41:BJ41"/>
    <mergeCell ref="AR42:BJ42"/>
    <mergeCell ref="AR33:BJ33"/>
    <mergeCell ref="A32:C32"/>
    <mergeCell ref="Z32:AB32"/>
    <mergeCell ref="AC32:AE32"/>
    <mergeCell ref="AF32:AH32"/>
    <mergeCell ref="AI32:AK32"/>
    <mergeCell ref="AL32:AN32"/>
    <mergeCell ref="AO32:AQ32"/>
    <mergeCell ref="AR32:BJ32"/>
    <mergeCell ref="D33:T33"/>
    <mergeCell ref="D32:T32"/>
    <mergeCell ref="U33:Y33"/>
    <mergeCell ref="U32:Y32"/>
    <mergeCell ref="A33:C33"/>
    <mergeCell ref="Z33:AB33"/>
    <mergeCell ref="AC33:AE33"/>
    <mergeCell ref="AF33:AH33"/>
    <mergeCell ref="AI33:AK33"/>
    <mergeCell ref="AL33:AN33"/>
    <mergeCell ref="AO33:AQ33"/>
    <mergeCell ref="A41:C41"/>
    <mergeCell ref="D41:T41"/>
    <mergeCell ref="AS10:BJ10"/>
    <mergeCell ref="A11:BJ11"/>
    <mergeCell ref="A12:C12"/>
    <mergeCell ref="D12:AR12"/>
    <mergeCell ref="AS12:BJ12"/>
    <mergeCell ref="A14:C14"/>
    <mergeCell ref="D14:AR14"/>
    <mergeCell ref="AS14:BJ14"/>
    <mergeCell ref="A15:C15"/>
    <mergeCell ref="D15:AR15"/>
    <mergeCell ref="AS15:BJ15"/>
    <mergeCell ref="A13:C13"/>
    <mergeCell ref="D13:AR13"/>
    <mergeCell ref="AS13:BJ13"/>
    <mergeCell ref="A16:C16"/>
    <mergeCell ref="D16:AR16"/>
    <mergeCell ref="AS16:BJ16"/>
    <mergeCell ref="A18:C18"/>
    <mergeCell ref="D18:AR18"/>
    <mergeCell ref="AS18:BJ18"/>
    <mergeCell ref="A19:BJ19"/>
    <mergeCell ref="A20:C20"/>
    <mergeCell ref="D20:AR20"/>
    <mergeCell ref="AS20:BJ20"/>
    <mergeCell ref="A25:C25"/>
    <mergeCell ref="D25:AR25"/>
    <mergeCell ref="AS25:BJ25"/>
    <mergeCell ref="A26:C26"/>
    <mergeCell ref="D26:AR26"/>
    <mergeCell ref="AS26:BJ26"/>
    <mergeCell ref="A17:C17"/>
    <mergeCell ref="D17:AR17"/>
    <mergeCell ref="AS17:BJ17"/>
    <mergeCell ref="A22:C22"/>
    <mergeCell ref="D22:AR22"/>
    <mergeCell ref="AS22:BJ22"/>
    <mergeCell ref="A23:C23"/>
    <mergeCell ref="D23:AR23"/>
    <mergeCell ref="AS23:BJ23"/>
    <mergeCell ref="A24:C24"/>
    <mergeCell ref="D24:AR24"/>
    <mergeCell ref="AS24:BJ24"/>
    <mergeCell ref="A21:C21"/>
    <mergeCell ref="D21:AR21"/>
    <mergeCell ref="AS21:BJ21"/>
  </mergeCells>
  <phoneticPr fontId="1"/>
  <dataValidations count="5">
    <dataValidation type="list" allowBlank="1" showInputMessage="1" showErrorMessage="1" sqref="BC7:BC9 BI7:BI9 BC27 BI27 AL30:AQ71 AC30:AH71" xr:uid="{2CA8238B-0CC3-4216-BD48-6BB43EF8688F}">
      <formula1>"〇"</formula1>
    </dataValidation>
    <dataValidation type="list" allowBlank="1" showInputMessage="1" showErrorMessage="1" sqref="AK6 AX6" xr:uid="{1793D32C-30DB-485D-B9E4-C891F79D900A}">
      <formula1>"あり,なし"</formula1>
    </dataValidation>
    <dataValidation type="list" allowBlank="1" showInputMessage="1" sqref="AS7:AX8 AS27:AX27 AT9:AX9 AS9:AS10" xr:uid="{F6C084B9-F12F-4442-B660-4858EC702979}">
      <formula1>"utf-8,Shift jis"</formula1>
    </dataValidation>
    <dataValidation type="list" allowBlank="1" showInputMessage="1" sqref="AS12:BJ18 AS20:BJ26" xr:uid="{F02C2118-E90C-417E-821B-C9FAA35AF24D}">
      <formula1>"昇順, 降順"</formula1>
    </dataValidation>
    <dataValidation type="list" allowBlank="1" showInputMessage="1" showErrorMessage="1" sqref="AI30:AK71" xr:uid="{6739CC32-38D8-4C38-B8E8-426F03B3C0AE}">
      <formula1>"右,左"</formula1>
    </dataValidation>
  </dataValidations>
  <pageMargins left="0.70866141732283472" right="0.35433070866141736" top="0.62992125984251968" bottom="0.39370078740157483" header="0.82677165354330717" footer="0.19685039370078741"/>
  <pageSetup paperSize="9" scale="71" fitToHeight="0" orientation="portrait" r:id="rId1"/>
  <headerFooter>
    <oddHeader xml:space="preserve">&amp;R&amp;P   </oddHead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6FBFC-403E-4B54-BE62-B3F1EECAB640}">
  <sheetPr codeName="Sheet3">
    <pageSetUpPr fitToPage="1"/>
  </sheetPr>
  <dimension ref="A1:BJ53"/>
  <sheetViews>
    <sheetView view="pageBreakPreview" zoomScaleNormal="100" zoomScaleSheetLayoutView="100" workbookViewId="0"/>
  </sheetViews>
  <sheetFormatPr defaultColWidth="2.109375" defaultRowHeight="13.2"/>
  <cols>
    <col min="29" max="29" width="3" bestFit="1" customWidth="1"/>
  </cols>
  <sheetData>
    <row r="1" spans="1:62" s="1" customFormat="1" ht="18" customHeight="1">
      <c r="A1" s="1" t="s">
        <v>0</v>
      </c>
      <c r="BJ1" s="2" t="s">
        <v>1</v>
      </c>
    </row>
    <row r="2" spans="1:62" s="3" customFormat="1" ht="18" customHeight="1">
      <c r="A2" s="99" t="s">
        <v>30</v>
      </c>
      <c r="B2" s="100"/>
      <c r="C2" s="100"/>
      <c r="D2" s="100"/>
      <c r="E2" s="100"/>
      <c r="F2" s="100"/>
      <c r="G2" s="100"/>
      <c r="H2" s="100"/>
      <c r="I2" s="100"/>
      <c r="J2" s="100"/>
      <c r="K2" s="100"/>
      <c r="L2" s="100"/>
      <c r="M2" s="100"/>
      <c r="N2" s="100"/>
      <c r="O2" s="100"/>
      <c r="P2" s="100"/>
      <c r="Q2" s="100"/>
      <c r="R2" s="100"/>
      <c r="S2" s="100"/>
      <c r="T2" s="100"/>
      <c r="U2" s="100"/>
      <c r="V2" s="100"/>
      <c r="W2" s="100"/>
      <c r="X2" s="100"/>
      <c r="Y2" s="100"/>
      <c r="Z2" s="100"/>
      <c r="AA2" s="100"/>
      <c r="AB2" s="100"/>
      <c r="AC2" s="100"/>
      <c r="AD2" s="100"/>
      <c r="AE2" s="100"/>
      <c r="AF2" s="100"/>
      <c r="AG2" s="100"/>
      <c r="AH2" s="100"/>
      <c r="AI2" s="100"/>
      <c r="AJ2" s="100"/>
      <c r="AK2" s="100"/>
      <c r="AL2" s="100"/>
      <c r="AM2" s="100"/>
      <c r="AN2" s="100"/>
      <c r="AO2" s="100"/>
      <c r="AP2" s="100"/>
      <c r="AQ2" s="100"/>
      <c r="AR2" s="100"/>
      <c r="AS2" s="101"/>
      <c r="AT2" s="93" t="s">
        <v>3</v>
      </c>
      <c r="AU2" s="94"/>
      <c r="AV2" s="94"/>
      <c r="AW2" s="94"/>
      <c r="AX2" s="95"/>
      <c r="AY2" s="93" t="s">
        <v>31</v>
      </c>
      <c r="AZ2" s="94"/>
      <c r="BA2" s="94"/>
      <c r="BB2" s="95"/>
      <c r="BC2" s="93" t="s">
        <v>5</v>
      </c>
      <c r="BD2" s="94"/>
      <c r="BE2" s="94"/>
      <c r="BF2" s="95"/>
      <c r="BG2" s="93"/>
      <c r="BH2" s="94"/>
      <c r="BI2" s="94"/>
      <c r="BJ2" s="95"/>
    </row>
    <row r="3" spans="1:62" s="1" customFormat="1" ht="18" customHeight="1">
      <c r="A3" s="102" t="s">
        <v>6</v>
      </c>
      <c r="B3" s="103"/>
      <c r="C3" s="103"/>
      <c r="D3" s="103"/>
      <c r="E3" s="103"/>
      <c r="F3" s="103"/>
      <c r="G3" s="103"/>
      <c r="H3" s="104"/>
      <c r="I3" s="108" t="s">
        <v>303</v>
      </c>
      <c r="J3" s="109"/>
      <c r="K3" s="109"/>
      <c r="L3" s="109"/>
      <c r="M3" s="109"/>
      <c r="N3" s="109"/>
      <c r="O3" s="109"/>
      <c r="P3" s="109"/>
      <c r="Q3" s="109"/>
      <c r="R3" s="109"/>
      <c r="S3" s="109"/>
      <c r="T3" s="109"/>
      <c r="U3" s="109"/>
      <c r="V3" s="109"/>
      <c r="W3" s="109"/>
      <c r="X3" s="109"/>
      <c r="Y3" s="109"/>
      <c r="Z3" s="109"/>
      <c r="AA3" s="109"/>
      <c r="AB3" s="109"/>
      <c r="AC3" s="109"/>
      <c r="AD3" s="109"/>
      <c r="AE3" s="109"/>
      <c r="AF3" s="109"/>
      <c r="AG3" s="109"/>
      <c r="AH3" s="109"/>
      <c r="AI3" s="109"/>
      <c r="AJ3" s="109"/>
      <c r="AK3" s="109"/>
      <c r="AL3" s="109"/>
      <c r="AM3" s="109"/>
      <c r="AN3" s="109"/>
      <c r="AO3" s="109"/>
      <c r="AP3" s="109"/>
      <c r="AQ3" s="109"/>
      <c r="AR3" s="109"/>
      <c r="AS3" s="110"/>
      <c r="AT3" s="93" t="s">
        <v>7</v>
      </c>
      <c r="AU3" s="94"/>
      <c r="AV3" s="94"/>
      <c r="AW3" s="94"/>
      <c r="AX3" s="95"/>
      <c r="AY3" s="93" t="s">
        <v>302</v>
      </c>
      <c r="AZ3" s="94"/>
      <c r="BA3" s="94"/>
      <c r="BB3" s="94"/>
      <c r="BC3" s="94"/>
      <c r="BD3" s="94"/>
      <c r="BE3" s="94"/>
      <c r="BF3" s="94"/>
      <c r="BG3" s="94"/>
      <c r="BH3" s="94"/>
      <c r="BI3" s="94"/>
      <c r="BJ3" s="95"/>
    </row>
    <row r="4" spans="1:62" s="1" customFormat="1" ht="18" customHeight="1">
      <c r="A4" s="105"/>
      <c r="B4" s="106"/>
      <c r="C4" s="106"/>
      <c r="D4" s="106"/>
      <c r="E4" s="106"/>
      <c r="F4" s="106"/>
      <c r="G4" s="106"/>
      <c r="H4" s="107"/>
      <c r="I4" s="111"/>
      <c r="J4" s="112"/>
      <c r="K4" s="112"/>
      <c r="L4" s="112"/>
      <c r="M4" s="112"/>
      <c r="N4" s="112"/>
      <c r="O4" s="112"/>
      <c r="P4" s="112"/>
      <c r="Q4" s="112"/>
      <c r="R4" s="112"/>
      <c r="S4" s="112"/>
      <c r="T4" s="112"/>
      <c r="U4" s="112"/>
      <c r="V4" s="112"/>
      <c r="W4" s="112"/>
      <c r="X4" s="112"/>
      <c r="Y4" s="112"/>
      <c r="Z4" s="112"/>
      <c r="AA4" s="112"/>
      <c r="AB4" s="112"/>
      <c r="AC4" s="112"/>
      <c r="AD4" s="112"/>
      <c r="AE4" s="112"/>
      <c r="AF4" s="112"/>
      <c r="AG4" s="112"/>
      <c r="AH4" s="112"/>
      <c r="AI4" s="112"/>
      <c r="AJ4" s="112"/>
      <c r="AK4" s="112"/>
      <c r="AL4" s="112"/>
      <c r="AM4" s="112"/>
      <c r="AN4" s="112"/>
      <c r="AO4" s="112"/>
      <c r="AP4" s="112"/>
      <c r="AQ4" s="112"/>
      <c r="AR4" s="112"/>
      <c r="AS4" s="113"/>
      <c r="AT4" s="93" t="s">
        <v>8</v>
      </c>
      <c r="AU4" s="94"/>
      <c r="AV4" s="94"/>
      <c r="AW4" s="94"/>
      <c r="AX4" s="95"/>
      <c r="AY4" s="93"/>
      <c r="AZ4" s="94"/>
      <c r="BA4" s="94"/>
      <c r="BB4" s="94"/>
      <c r="BC4" s="94"/>
      <c r="BD4" s="94"/>
      <c r="BE4" s="94"/>
      <c r="BF4" s="94"/>
      <c r="BG4" s="94"/>
      <c r="BH4" s="94"/>
      <c r="BI4" s="94"/>
      <c r="BJ4" s="95"/>
    </row>
    <row r="5" spans="1:62" s="12" customFormat="1" ht="6" customHeight="1"/>
    <row r="6" spans="1:62" s="13" customFormat="1" ht="20.25" customHeight="1">
      <c r="A6" s="155" t="s">
        <v>12</v>
      </c>
      <c r="B6" s="157"/>
      <c r="C6" s="157"/>
      <c r="D6" s="157"/>
      <c r="E6" s="157"/>
      <c r="F6" s="157"/>
      <c r="G6" s="157"/>
      <c r="H6" s="157"/>
      <c r="I6" s="157"/>
      <c r="J6" s="157"/>
      <c r="K6" s="156"/>
      <c r="L6" s="155" t="s">
        <v>304</v>
      </c>
      <c r="M6" s="157"/>
      <c r="N6" s="157"/>
      <c r="O6" s="157"/>
      <c r="P6" s="157"/>
      <c r="Q6" s="157"/>
      <c r="R6" s="157"/>
      <c r="S6" s="157"/>
      <c r="T6" s="157"/>
      <c r="U6" s="157"/>
      <c r="V6" s="157"/>
      <c r="W6" s="157"/>
      <c r="X6" s="157"/>
      <c r="Y6" s="157"/>
      <c r="Z6" s="157"/>
      <c r="AA6" s="156"/>
      <c r="AB6" s="155" t="s">
        <v>13</v>
      </c>
      <c r="AC6" s="157"/>
      <c r="AD6" s="157"/>
      <c r="AE6" s="157"/>
      <c r="AF6" s="157"/>
      <c r="AG6" s="157"/>
      <c r="AH6" s="157"/>
      <c r="AI6" s="157"/>
      <c r="AJ6" s="156"/>
      <c r="AK6" s="155" t="s">
        <v>32</v>
      </c>
      <c r="AL6" s="157"/>
      <c r="AM6" s="157"/>
      <c r="AN6" s="156"/>
      <c r="AO6" s="155" t="s">
        <v>14</v>
      </c>
      <c r="AP6" s="157"/>
      <c r="AQ6" s="157"/>
      <c r="AR6" s="157"/>
      <c r="AS6" s="157"/>
      <c r="AT6" s="157"/>
      <c r="AU6" s="157"/>
      <c r="AV6" s="157"/>
      <c r="AW6" s="156"/>
      <c r="AX6" s="155" t="s">
        <v>33</v>
      </c>
      <c r="AY6" s="157"/>
      <c r="AZ6" s="157"/>
      <c r="BA6" s="156"/>
      <c r="BB6" s="126" t="s">
        <v>15</v>
      </c>
      <c r="BC6" s="126"/>
      <c r="BD6" s="126"/>
      <c r="BE6" s="126"/>
      <c r="BF6" s="126">
        <f>COUNTA(D10:D537)</f>
        <v>37</v>
      </c>
      <c r="BG6" s="126"/>
      <c r="BH6" s="126"/>
      <c r="BI6" s="126"/>
      <c r="BJ6" s="126"/>
    </row>
    <row r="7" spans="1:62" s="13" customFormat="1" ht="20.25" customHeight="1">
      <c r="A7" s="155" t="s">
        <v>16</v>
      </c>
      <c r="B7" s="157"/>
      <c r="C7" s="157"/>
      <c r="D7" s="157"/>
      <c r="E7" s="157"/>
      <c r="F7" s="157"/>
      <c r="G7" s="157"/>
      <c r="H7" s="157"/>
      <c r="I7" s="157"/>
      <c r="J7" s="157"/>
      <c r="K7" s="156"/>
      <c r="L7" s="155" t="s">
        <v>98</v>
      </c>
      <c r="M7" s="157"/>
      <c r="N7" s="157"/>
      <c r="O7" s="157"/>
      <c r="P7" s="157"/>
      <c r="Q7" s="157"/>
      <c r="R7" s="157"/>
      <c r="S7" s="157"/>
      <c r="T7" s="157"/>
      <c r="U7" s="157"/>
      <c r="V7" s="157"/>
      <c r="W7" s="157"/>
      <c r="X7" s="157"/>
      <c r="Y7" s="157"/>
      <c r="Z7" s="157"/>
      <c r="AA7" s="157"/>
      <c r="AB7" s="157"/>
      <c r="AC7" s="157"/>
      <c r="AD7" s="157"/>
      <c r="AE7" s="157"/>
      <c r="AF7" s="157"/>
      <c r="AG7" s="157"/>
      <c r="AH7" s="157"/>
      <c r="AI7" s="157"/>
      <c r="AJ7" s="156"/>
      <c r="AK7" s="155" t="s">
        <v>34</v>
      </c>
      <c r="AL7" s="157"/>
      <c r="AM7" s="157"/>
      <c r="AN7" s="157"/>
      <c r="AO7" s="157"/>
      <c r="AP7" s="157"/>
      <c r="AQ7" s="157"/>
      <c r="AR7" s="156"/>
      <c r="AS7" s="155" t="s">
        <v>305</v>
      </c>
      <c r="AT7" s="157"/>
      <c r="AU7" s="157"/>
      <c r="AV7" s="157"/>
      <c r="AW7" s="157"/>
      <c r="AX7" s="156"/>
      <c r="AY7" s="32" t="s">
        <v>17</v>
      </c>
      <c r="AZ7" s="33"/>
      <c r="BA7" s="33"/>
      <c r="BB7" s="33"/>
      <c r="BC7" s="155" t="s">
        <v>35</v>
      </c>
      <c r="BD7" s="156"/>
      <c r="BE7" s="155" t="s">
        <v>18</v>
      </c>
      <c r="BF7" s="157"/>
      <c r="BG7" s="157"/>
      <c r="BH7" s="156"/>
      <c r="BI7" s="155"/>
      <c r="BJ7" s="156"/>
    </row>
    <row r="8" spans="1:62" s="4" customFormat="1">
      <c r="B8" s="28" t="s">
        <v>19</v>
      </c>
      <c r="G8" s="5"/>
    </row>
    <row r="9" spans="1:62" s="13" customFormat="1" ht="42" customHeight="1">
      <c r="A9" s="155" t="s">
        <v>20</v>
      </c>
      <c r="B9" s="157"/>
      <c r="C9" s="156"/>
      <c r="D9" s="155" t="s">
        <v>36</v>
      </c>
      <c r="E9" s="157"/>
      <c r="F9" s="157"/>
      <c r="G9" s="157"/>
      <c r="H9" s="157"/>
      <c r="I9" s="157"/>
      <c r="J9" s="157"/>
      <c r="K9" s="157"/>
      <c r="L9" s="157"/>
      <c r="M9" s="157"/>
      <c r="N9" s="157"/>
      <c r="O9" s="157"/>
      <c r="P9" s="157"/>
      <c r="Q9" s="157"/>
      <c r="R9" s="157"/>
      <c r="S9" s="157"/>
      <c r="T9" s="156"/>
      <c r="U9" s="163" t="s">
        <v>22</v>
      </c>
      <c r="V9" s="164"/>
      <c r="W9" s="164"/>
      <c r="X9" s="164"/>
      <c r="Y9" s="165"/>
      <c r="Z9" s="163" t="s">
        <v>23</v>
      </c>
      <c r="AA9" s="164"/>
      <c r="AB9" s="165"/>
      <c r="AC9" s="155" t="s">
        <v>37</v>
      </c>
      <c r="AD9" s="157"/>
      <c r="AE9" s="157"/>
      <c r="AF9" s="157"/>
      <c r="AG9" s="157"/>
      <c r="AH9" s="157"/>
      <c r="AI9" s="157"/>
      <c r="AJ9" s="157"/>
      <c r="AK9" s="157"/>
      <c r="AL9" s="157"/>
      <c r="AM9" s="157"/>
      <c r="AN9" s="157"/>
      <c r="AO9" s="157"/>
      <c r="AP9" s="157"/>
      <c r="AQ9" s="157"/>
      <c r="AR9" s="157"/>
      <c r="AS9" s="157"/>
      <c r="AT9" s="157"/>
      <c r="AU9" s="157"/>
      <c r="AV9" s="157"/>
      <c r="AW9" s="157"/>
      <c r="AX9" s="157"/>
      <c r="AY9" s="157"/>
      <c r="AZ9" s="157"/>
      <c r="BA9" s="157"/>
      <c r="BB9" s="157"/>
      <c r="BC9" s="157"/>
      <c r="BD9" s="157"/>
      <c r="BE9" s="157"/>
      <c r="BF9" s="157"/>
      <c r="BG9" s="157"/>
      <c r="BH9" s="157"/>
      <c r="BI9" s="157"/>
      <c r="BJ9" s="156"/>
    </row>
    <row r="10" spans="1:62" s="47" customFormat="1" ht="58.2" customHeight="1">
      <c r="A10" s="173">
        <v>1</v>
      </c>
      <c r="B10" s="173"/>
      <c r="C10" s="173"/>
      <c r="D10" s="170" t="s">
        <v>50</v>
      </c>
      <c r="E10" s="171"/>
      <c r="F10" s="171"/>
      <c r="G10" s="171"/>
      <c r="H10" s="171"/>
      <c r="I10" s="171"/>
      <c r="J10" s="171"/>
      <c r="K10" s="171"/>
      <c r="L10" s="171"/>
      <c r="M10" s="171"/>
      <c r="N10" s="171"/>
      <c r="O10" s="171"/>
      <c r="P10" s="171"/>
      <c r="Q10" s="171"/>
      <c r="R10" s="171"/>
      <c r="S10" s="171"/>
      <c r="T10" s="172"/>
      <c r="U10" s="158" t="s">
        <v>64</v>
      </c>
      <c r="V10" s="159"/>
      <c r="W10" s="159"/>
      <c r="X10" s="159"/>
      <c r="Y10" s="160"/>
      <c r="Z10" s="158">
        <v>6</v>
      </c>
      <c r="AA10" s="159"/>
      <c r="AB10" s="160"/>
      <c r="AC10" s="34" t="s">
        <v>295</v>
      </c>
      <c r="AD10" s="29"/>
      <c r="AE10" s="29"/>
      <c r="AF10" s="29"/>
      <c r="AG10" s="29"/>
      <c r="AH10" s="29"/>
      <c r="AI10" s="29"/>
      <c r="AJ10" s="29"/>
      <c r="AK10" s="29"/>
      <c r="AL10" s="29"/>
      <c r="AM10" s="29"/>
      <c r="AN10" s="29"/>
      <c r="AO10" s="29"/>
      <c r="AP10" s="29"/>
      <c r="AQ10" s="29"/>
      <c r="AR10" s="30"/>
      <c r="AS10" s="30"/>
      <c r="AT10" s="30"/>
      <c r="AU10" s="30"/>
      <c r="AV10" s="30"/>
      <c r="AW10" s="30"/>
      <c r="AX10" s="30"/>
      <c r="AY10" s="30"/>
      <c r="AZ10" s="30"/>
      <c r="BA10" s="30"/>
      <c r="BB10" s="30"/>
      <c r="BC10" s="30"/>
      <c r="BD10" s="30"/>
      <c r="BE10" s="30"/>
      <c r="BF10" s="30"/>
      <c r="BG10" s="30"/>
      <c r="BH10" s="30"/>
      <c r="BI10" s="30"/>
      <c r="BJ10" s="31"/>
    </row>
    <row r="11" spans="1:62" s="47" customFormat="1" ht="40.5" customHeight="1">
      <c r="A11" s="130">
        <v>2</v>
      </c>
      <c r="B11" s="130"/>
      <c r="C11" s="130"/>
      <c r="D11" s="137" t="s">
        <v>51</v>
      </c>
      <c r="E11" s="138"/>
      <c r="F11" s="138"/>
      <c r="G11" s="138"/>
      <c r="H11" s="138"/>
      <c r="I11" s="138"/>
      <c r="J11" s="138"/>
      <c r="K11" s="138"/>
      <c r="L11" s="138"/>
      <c r="M11" s="138"/>
      <c r="N11" s="138"/>
      <c r="O11" s="138"/>
      <c r="P11" s="138"/>
      <c r="Q11" s="138"/>
      <c r="R11" s="138"/>
      <c r="S11" s="138"/>
      <c r="T11" s="139"/>
      <c r="U11" s="131" t="s">
        <v>64</v>
      </c>
      <c r="V11" s="132"/>
      <c r="W11" s="132"/>
      <c r="X11" s="132"/>
      <c r="Y11" s="133"/>
      <c r="Z11" s="131">
        <v>6</v>
      </c>
      <c r="AA11" s="132"/>
      <c r="AB11" s="133"/>
      <c r="AC11" s="48" t="s">
        <v>295</v>
      </c>
      <c r="AD11" s="53"/>
      <c r="AE11" s="53"/>
      <c r="AF11" s="53"/>
      <c r="AG11" s="53"/>
      <c r="AH11" s="53"/>
      <c r="AI11" s="53"/>
      <c r="AJ11" s="53"/>
      <c r="AK11" s="53"/>
      <c r="AL11" s="53"/>
      <c r="AM11" s="53"/>
      <c r="AN11" s="53"/>
      <c r="AO11" s="53"/>
      <c r="AP11" s="53"/>
      <c r="AQ11" s="53"/>
      <c r="AR11" s="53"/>
      <c r="AS11" s="53"/>
      <c r="AT11" s="53"/>
      <c r="AU11" s="53"/>
      <c r="AV11" s="53"/>
      <c r="AW11" s="53"/>
      <c r="AX11" s="53"/>
      <c r="AY11" s="53"/>
      <c r="AZ11" s="53"/>
      <c r="BA11" s="53"/>
      <c r="BB11" s="53"/>
      <c r="BC11" s="53"/>
      <c r="BD11" s="53"/>
      <c r="BE11" s="53"/>
      <c r="BF11" s="53"/>
      <c r="BG11" s="53"/>
      <c r="BH11" s="53"/>
      <c r="BI11" s="53"/>
      <c r="BJ11" s="54"/>
    </row>
    <row r="12" spans="1:62" s="47" customFormat="1" ht="40.5" customHeight="1">
      <c r="A12" s="130">
        <v>3</v>
      </c>
      <c r="B12" s="130"/>
      <c r="C12" s="130"/>
      <c r="D12" s="134" t="s">
        <v>184</v>
      </c>
      <c r="E12" s="135"/>
      <c r="F12" s="135"/>
      <c r="G12" s="135"/>
      <c r="H12" s="135"/>
      <c r="I12" s="135"/>
      <c r="J12" s="135"/>
      <c r="K12" s="135"/>
      <c r="L12" s="135"/>
      <c r="M12" s="135"/>
      <c r="N12" s="135"/>
      <c r="O12" s="135"/>
      <c r="P12" s="135"/>
      <c r="Q12" s="135"/>
      <c r="R12" s="135"/>
      <c r="S12" s="135"/>
      <c r="T12" s="136"/>
      <c r="U12" s="131" t="s">
        <v>186</v>
      </c>
      <c r="V12" s="132"/>
      <c r="W12" s="132"/>
      <c r="X12" s="132"/>
      <c r="Y12" s="133"/>
      <c r="Z12" s="131">
        <v>2</v>
      </c>
      <c r="AA12" s="132"/>
      <c r="AB12" s="133"/>
      <c r="AC12" s="48" t="s">
        <v>190</v>
      </c>
      <c r="AD12" s="53"/>
      <c r="AE12" s="53"/>
      <c r="AF12" s="53"/>
      <c r="AG12" s="53"/>
      <c r="AH12" s="53"/>
      <c r="AI12" s="53"/>
      <c r="AJ12" s="53"/>
      <c r="AK12" s="53"/>
      <c r="AL12" s="53"/>
      <c r="AM12" s="53"/>
      <c r="AN12" s="53"/>
      <c r="AO12" s="53"/>
      <c r="AP12" s="53"/>
      <c r="AQ12" s="53"/>
      <c r="AR12" s="53"/>
      <c r="AS12" s="53"/>
      <c r="AT12" s="53"/>
      <c r="AU12" s="53"/>
      <c r="AV12" s="53"/>
      <c r="AW12" s="53"/>
      <c r="AX12" s="53"/>
      <c r="AY12" s="53"/>
      <c r="AZ12" s="53"/>
      <c r="BA12" s="53"/>
      <c r="BB12" s="53"/>
      <c r="BC12" s="53"/>
      <c r="BD12" s="53"/>
      <c r="BE12" s="53"/>
      <c r="BF12" s="53"/>
      <c r="BG12" s="53"/>
      <c r="BH12" s="53"/>
      <c r="BI12" s="53"/>
      <c r="BJ12" s="54"/>
    </row>
    <row r="13" spans="1:62" s="47" customFormat="1" ht="40.5" customHeight="1">
      <c r="A13" s="130">
        <v>4</v>
      </c>
      <c r="B13" s="130"/>
      <c r="C13" s="130"/>
      <c r="D13" s="134" t="s">
        <v>185</v>
      </c>
      <c r="E13" s="135"/>
      <c r="F13" s="135"/>
      <c r="G13" s="135"/>
      <c r="H13" s="135"/>
      <c r="I13" s="135"/>
      <c r="J13" s="135"/>
      <c r="K13" s="135"/>
      <c r="L13" s="135"/>
      <c r="M13" s="135"/>
      <c r="N13" s="135"/>
      <c r="O13" s="135"/>
      <c r="P13" s="135"/>
      <c r="Q13" s="135"/>
      <c r="R13" s="135"/>
      <c r="S13" s="135"/>
      <c r="T13" s="136"/>
      <c r="U13" s="131" t="s">
        <v>187</v>
      </c>
      <c r="V13" s="132"/>
      <c r="W13" s="132"/>
      <c r="X13" s="132"/>
      <c r="Y13" s="133"/>
      <c r="Z13" s="131">
        <v>10</v>
      </c>
      <c r="AA13" s="132"/>
      <c r="AB13" s="133"/>
      <c r="AC13" s="52" t="s">
        <v>191</v>
      </c>
      <c r="AD13" s="53"/>
      <c r="AE13" s="53"/>
      <c r="AF13" s="53"/>
      <c r="AG13" s="53"/>
      <c r="AH13" s="53"/>
      <c r="AI13" s="53"/>
      <c r="AJ13" s="53"/>
      <c r="AK13" s="53"/>
      <c r="AL13" s="53"/>
      <c r="AM13" s="53"/>
      <c r="AN13" s="53"/>
      <c r="AO13" s="53"/>
      <c r="AP13" s="53"/>
      <c r="AQ13" s="53"/>
      <c r="AR13" s="53"/>
      <c r="AS13" s="53"/>
      <c r="AT13" s="53"/>
      <c r="AU13" s="53"/>
      <c r="AV13" s="53"/>
      <c r="AW13" s="53"/>
      <c r="AX13" s="53"/>
      <c r="AY13" s="53"/>
      <c r="AZ13" s="53"/>
      <c r="BA13" s="53"/>
      <c r="BB13" s="53"/>
      <c r="BC13" s="53"/>
      <c r="BD13" s="53"/>
      <c r="BE13" s="53"/>
      <c r="BF13" s="53"/>
      <c r="BG13" s="53"/>
      <c r="BH13" s="53"/>
      <c r="BI13" s="53"/>
      <c r="BJ13" s="54"/>
    </row>
    <row r="14" spans="1:62" s="47" customFormat="1" ht="40.5" customHeight="1">
      <c r="A14" s="130">
        <v>5</v>
      </c>
      <c r="B14" s="130"/>
      <c r="C14" s="130"/>
      <c r="D14" s="137" t="s">
        <v>52</v>
      </c>
      <c r="E14" s="138"/>
      <c r="F14" s="138"/>
      <c r="G14" s="138"/>
      <c r="H14" s="138"/>
      <c r="I14" s="138"/>
      <c r="J14" s="138"/>
      <c r="K14" s="138"/>
      <c r="L14" s="138"/>
      <c r="M14" s="138"/>
      <c r="N14" s="138"/>
      <c r="O14" s="138"/>
      <c r="P14" s="138"/>
      <c r="Q14" s="138"/>
      <c r="R14" s="138"/>
      <c r="S14" s="138"/>
      <c r="T14" s="139"/>
      <c r="U14" s="131" t="s">
        <v>65</v>
      </c>
      <c r="V14" s="132"/>
      <c r="W14" s="132"/>
      <c r="X14" s="132"/>
      <c r="Y14" s="133"/>
      <c r="Z14" s="131" t="s">
        <v>67</v>
      </c>
      <c r="AA14" s="132"/>
      <c r="AB14" s="133"/>
      <c r="AC14" s="52" t="s">
        <v>82</v>
      </c>
      <c r="AD14" s="53"/>
      <c r="AE14" s="53"/>
      <c r="AF14" s="53"/>
      <c r="AG14" s="53"/>
      <c r="AH14" s="53"/>
      <c r="AI14" s="53"/>
      <c r="AJ14" s="53"/>
      <c r="AK14" s="53"/>
      <c r="AL14" s="53"/>
      <c r="AM14" s="53"/>
      <c r="AN14" s="53"/>
      <c r="AO14" s="53"/>
      <c r="AP14" s="53"/>
      <c r="AQ14" s="53"/>
      <c r="AR14" s="53"/>
      <c r="AS14" s="53"/>
      <c r="AT14" s="53"/>
      <c r="AU14" s="53"/>
      <c r="AV14" s="53"/>
      <c r="AW14" s="53"/>
      <c r="AX14" s="53"/>
      <c r="AY14" s="53"/>
      <c r="AZ14" s="53"/>
      <c r="BA14" s="53"/>
      <c r="BB14" s="53"/>
      <c r="BC14" s="53"/>
      <c r="BD14" s="53"/>
      <c r="BE14" s="53"/>
      <c r="BF14" s="53"/>
      <c r="BG14" s="53"/>
      <c r="BH14" s="53"/>
      <c r="BI14" s="53"/>
      <c r="BJ14" s="54"/>
    </row>
    <row r="15" spans="1:62" s="47" customFormat="1" ht="40.5" customHeight="1">
      <c r="A15" s="130">
        <v>6</v>
      </c>
      <c r="B15" s="130"/>
      <c r="C15" s="130"/>
      <c r="D15" s="137" t="s">
        <v>53</v>
      </c>
      <c r="E15" s="138"/>
      <c r="F15" s="138"/>
      <c r="G15" s="138"/>
      <c r="H15" s="138"/>
      <c r="I15" s="138"/>
      <c r="J15" s="138"/>
      <c r="K15" s="138"/>
      <c r="L15" s="138"/>
      <c r="M15" s="138"/>
      <c r="N15" s="138"/>
      <c r="O15" s="138"/>
      <c r="P15" s="138"/>
      <c r="Q15" s="138"/>
      <c r="R15" s="138"/>
      <c r="S15" s="138"/>
      <c r="T15" s="139"/>
      <c r="U15" s="131" t="s">
        <v>66</v>
      </c>
      <c r="V15" s="132"/>
      <c r="W15" s="132"/>
      <c r="X15" s="132"/>
      <c r="Y15" s="133"/>
      <c r="Z15" s="131">
        <v>2</v>
      </c>
      <c r="AA15" s="132"/>
      <c r="AB15" s="133"/>
      <c r="AC15" s="48" t="s">
        <v>83</v>
      </c>
      <c r="AD15" s="53"/>
      <c r="AE15" s="53"/>
      <c r="AF15" s="53"/>
      <c r="AG15" s="53"/>
      <c r="AH15" s="53"/>
      <c r="AI15" s="53"/>
      <c r="AJ15" s="53"/>
      <c r="AK15" s="53"/>
      <c r="AL15" s="53"/>
      <c r="AM15" s="53"/>
      <c r="AN15" s="53"/>
      <c r="AO15" s="53"/>
      <c r="AP15" s="53"/>
      <c r="AQ15" s="53"/>
      <c r="AR15" s="53"/>
      <c r="AS15" s="53"/>
      <c r="AT15" s="53"/>
      <c r="AU15" s="53"/>
      <c r="AV15" s="53"/>
      <c r="AW15" s="53"/>
      <c r="AX15" s="53"/>
      <c r="AY15" s="53"/>
      <c r="AZ15" s="53"/>
      <c r="BA15" s="53"/>
      <c r="BB15" s="53"/>
      <c r="BC15" s="53"/>
      <c r="BD15" s="53"/>
      <c r="BE15" s="53"/>
      <c r="BF15" s="53"/>
      <c r="BG15" s="53"/>
      <c r="BH15" s="53"/>
      <c r="BI15" s="53"/>
      <c r="BJ15" s="54"/>
    </row>
    <row r="16" spans="1:62" s="47" customFormat="1" ht="40.5" customHeight="1">
      <c r="A16" s="130">
        <v>7</v>
      </c>
      <c r="B16" s="130"/>
      <c r="C16" s="130"/>
      <c r="D16" s="137" t="s">
        <v>54</v>
      </c>
      <c r="E16" s="138"/>
      <c r="F16" s="138"/>
      <c r="G16" s="138"/>
      <c r="H16" s="138"/>
      <c r="I16" s="138"/>
      <c r="J16" s="138"/>
      <c r="K16" s="138"/>
      <c r="L16" s="138"/>
      <c r="M16" s="138"/>
      <c r="N16" s="138"/>
      <c r="O16" s="138"/>
      <c r="P16" s="138"/>
      <c r="Q16" s="138"/>
      <c r="R16" s="138"/>
      <c r="S16" s="138"/>
      <c r="T16" s="139"/>
      <c r="U16" s="131" t="s">
        <v>65</v>
      </c>
      <c r="V16" s="132"/>
      <c r="W16" s="132"/>
      <c r="X16" s="132"/>
      <c r="Y16" s="133"/>
      <c r="Z16" s="131">
        <v>15</v>
      </c>
      <c r="AA16" s="132"/>
      <c r="AB16" s="133"/>
      <c r="AC16" s="48" t="s">
        <v>84</v>
      </c>
      <c r="AD16" s="53"/>
      <c r="AE16" s="53"/>
      <c r="AF16" s="53"/>
      <c r="AG16" s="53"/>
      <c r="AH16" s="53"/>
      <c r="AI16" s="53"/>
      <c r="AJ16" s="53"/>
      <c r="AK16" s="53"/>
      <c r="AL16" s="53"/>
      <c r="AM16" s="53"/>
      <c r="AN16" s="53"/>
      <c r="AO16" s="53"/>
      <c r="AP16" s="53"/>
      <c r="AQ16" s="53"/>
      <c r="AR16" s="53"/>
      <c r="AS16" s="53"/>
      <c r="AT16" s="53"/>
      <c r="AU16" s="53"/>
      <c r="AV16" s="53"/>
      <c r="AW16" s="53"/>
      <c r="AX16" s="53"/>
      <c r="AY16" s="53"/>
      <c r="AZ16" s="53"/>
      <c r="BA16" s="53"/>
      <c r="BB16" s="53"/>
      <c r="BC16" s="53"/>
      <c r="BD16" s="53"/>
      <c r="BE16" s="53"/>
      <c r="BF16" s="53"/>
      <c r="BG16" s="53"/>
      <c r="BH16" s="53"/>
      <c r="BI16" s="53"/>
      <c r="BJ16" s="54"/>
    </row>
    <row r="17" spans="1:62" s="47" customFormat="1" ht="40.5" customHeight="1">
      <c r="A17" s="130">
        <v>8</v>
      </c>
      <c r="B17" s="130"/>
      <c r="C17" s="130"/>
      <c r="D17" s="137" t="s">
        <v>55</v>
      </c>
      <c r="E17" s="138"/>
      <c r="F17" s="138"/>
      <c r="G17" s="138"/>
      <c r="H17" s="138"/>
      <c r="I17" s="138"/>
      <c r="J17" s="138"/>
      <c r="K17" s="138"/>
      <c r="L17" s="138"/>
      <c r="M17" s="138"/>
      <c r="N17" s="138"/>
      <c r="O17" s="138"/>
      <c r="P17" s="138"/>
      <c r="Q17" s="138"/>
      <c r="R17" s="138"/>
      <c r="S17" s="138"/>
      <c r="T17" s="139"/>
      <c r="U17" s="131" t="s">
        <v>66</v>
      </c>
      <c r="V17" s="132"/>
      <c r="W17" s="132"/>
      <c r="X17" s="132"/>
      <c r="Y17" s="133"/>
      <c r="Z17" s="131">
        <v>2</v>
      </c>
      <c r="AA17" s="132"/>
      <c r="AB17" s="133"/>
      <c r="AC17" s="48" t="s">
        <v>85</v>
      </c>
      <c r="AD17" s="53"/>
      <c r="AE17" s="53"/>
      <c r="AF17" s="53"/>
      <c r="AG17" s="53"/>
      <c r="AH17" s="53"/>
      <c r="AI17" s="53"/>
      <c r="AJ17" s="53"/>
      <c r="AK17" s="53"/>
      <c r="AL17" s="53"/>
      <c r="AM17" s="53"/>
      <c r="AN17" s="53"/>
      <c r="AO17" s="53"/>
      <c r="AP17" s="53"/>
      <c r="AQ17" s="53"/>
      <c r="AR17" s="53"/>
      <c r="AS17" s="53"/>
      <c r="AT17" s="53"/>
      <c r="AU17" s="53"/>
      <c r="AV17" s="53"/>
      <c r="AW17" s="53"/>
      <c r="AX17" s="53"/>
      <c r="AY17" s="53"/>
      <c r="AZ17" s="53"/>
      <c r="BA17" s="53"/>
      <c r="BB17" s="53"/>
      <c r="BC17" s="53"/>
      <c r="BD17" s="53"/>
      <c r="BE17" s="53"/>
      <c r="BF17" s="53"/>
      <c r="BG17" s="53"/>
      <c r="BH17" s="53"/>
      <c r="BI17" s="53"/>
      <c r="BJ17" s="54"/>
    </row>
    <row r="18" spans="1:62" s="47" customFormat="1" ht="40.5" customHeight="1">
      <c r="A18" s="130">
        <v>9</v>
      </c>
      <c r="B18" s="130"/>
      <c r="C18" s="130"/>
      <c r="D18" s="137" t="s">
        <v>56</v>
      </c>
      <c r="E18" s="138"/>
      <c r="F18" s="138"/>
      <c r="G18" s="138"/>
      <c r="H18" s="138"/>
      <c r="I18" s="138"/>
      <c r="J18" s="138"/>
      <c r="K18" s="138"/>
      <c r="L18" s="138"/>
      <c r="M18" s="138"/>
      <c r="N18" s="138"/>
      <c r="O18" s="138"/>
      <c r="P18" s="138"/>
      <c r="Q18" s="138"/>
      <c r="R18" s="138"/>
      <c r="S18" s="138"/>
      <c r="T18" s="139"/>
      <c r="U18" s="131" t="s">
        <v>65</v>
      </c>
      <c r="V18" s="132"/>
      <c r="W18" s="132"/>
      <c r="X18" s="132"/>
      <c r="Y18" s="133"/>
      <c r="Z18" s="131">
        <v>15</v>
      </c>
      <c r="AA18" s="132"/>
      <c r="AB18" s="133"/>
      <c r="AC18" s="48" t="s">
        <v>86</v>
      </c>
      <c r="AD18" s="53"/>
      <c r="AE18" s="53"/>
      <c r="AF18" s="53"/>
      <c r="AG18" s="53"/>
      <c r="AH18" s="53"/>
      <c r="AI18" s="53"/>
      <c r="AJ18" s="53"/>
      <c r="AK18" s="53"/>
      <c r="AL18" s="53"/>
      <c r="AM18" s="53"/>
      <c r="AN18" s="53"/>
      <c r="AO18" s="53"/>
      <c r="AP18" s="53"/>
      <c r="AQ18" s="53"/>
      <c r="AR18" s="53"/>
      <c r="AS18" s="53"/>
      <c r="AT18" s="53"/>
      <c r="AU18" s="53"/>
      <c r="AV18" s="53"/>
      <c r="AW18" s="53"/>
      <c r="AX18" s="53"/>
      <c r="AY18" s="53"/>
      <c r="AZ18" s="53"/>
      <c r="BA18" s="53"/>
      <c r="BB18" s="53"/>
      <c r="BC18" s="53"/>
      <c r="BD18" s="53"/>
      <c r="BE18" s="53"/>
      <c r="BF18" s="53"/>
      <c r="BG18" s="53"/>
      <c r="BH18" s="53"/>
      <c r="BI18" s="53"/>
      <c r="BJ18" s="54"/>
    </row>
    <row r="19" spans="1:62" s="47" customFormat="1" ht="40.5" customHeight="1">
      <c r="A19" s="130">
        <v>10</v>
      </c>
      <c r="B19" s="130"/>
      <c r="C19" s="130"/>
      <c r="D19" s="137" t="s">
        <v>57</v>
      </c>
      <c r="E19" s="138"/>
      <c r="F19" s="138"/>
      <c r="G19" s="138"/>
      <c r="H19" s="138"/>
      <c r="I19" s="138"/>
      <c r="J19" s="138"/>
      <c r="K19" s="138"/>
      <c r="L19" s="138"/>
      <c r="M19" s="138"/>
      <c r="N19" s="138"/>
      <c r="O19" s="138"/>
      <c r="P19" s="138"/>
      <c r="Q19" s="138"/>
      <c r="R19" s="138"/>
      <c r="S19" s="138"/>
      <c r="T19" s="139"/>
      <c r="U19" s="131" t="s">
        <v>66</v>
      </c>
      <c r="V19" s="132"/>
      <c r="W19" s="132"/>
      <c r="X19" s="132"/>
      <c r="Y19" s="133"/>
      <c r="Z19" s="131">
        <v>2</v>
      </c>
      <c r="AA19" s="132"/>
      <c r="AB19" s="133"/>
      <c r="AC19" s="48" t="s">
        <v>95</v>
      </c>
      <c r="AD19" s="53"/>
      <c r="AE19" s="53"/>
      <c r="AF19" s="53"/>
      <c r="AG19" s="53"/>
      <c r="AH19" s="53"/>
      <c r="AI19" s="53"/>
      <c r="AJ19" s="53"/>
      <c r="AK19" s="53"/>
      <c r="AL19" s="53"/>
      <c r="AM19" s="53"/>
      <c r="AN19" s="53"/>
      <c r="AO19" s="53"/>
      <c r="AP19" s="53"/>
      <c r="AQ19" s="53"/>
      <c r="AR19" s="53"/>
      <c r="AS19" s="53"/>
      <c r="AT19" s="53"/>
      <c r="AU19" s="53"/>
      <c r="AV19" s="53"/>
      <c r="AW19" s="53"/>
      <c r="AX19" s="53"/>
      <c r="AY19" s="53"/>
      <c r="AZ19" s="53"/>
      <c r="BA19" s="53"/>
      <c r="BB19" s="53"/>
      <c r="BC19" s="53"/>
      <c r="BD19" s="53"/>
      <c r="BE19" s="53"/>
      <c r="BF19" s="53"/>
      <c r="BG19" s="53"/>
      <c r="BH19" s="53"/>
      <c r="BI19" s="53"/>
      <c r="BJ19" s="54"/>
    </row>
    <row r="20" spans="1:62" s="47" customFormat="1" ht="40.5" customHeight="1">
      <c r="A20" s="130">
        <v>11</v>
      </c>
      <c r="B20" s="130"/>
      <c r="C20" s="130"/>
      <c r="D20" s="137" t="s">
        <v>58</v>
      </c>
      <c r="E20" s="138"/>
      <c r="F20" s="138"/>
      <c r="G20" s="138"/>
      <c r="H20" s="138"/>
      <c r="I20" s="138"/>
      <c r="J20" s="138"/>
      <c r="K20" s="138"/>
      <c r="L20" s="138"/>
      <c r="M20" s="138"/>
      <c r="N20" s="138"/>
      <c r="O20" s="138"/>
      <c r="P20" s="138"/>
      <c r="Q20" s="138"/>
      <c r="R20" s="138"/>
      <c r="S20" s="138"/>
      <c r="T20" s="139"/>
      <c r="U20" s="131" t="s">
        <v>65</v>
      </c>
      <c r="V20" s="132"/>
      <c r="W20" s="132"/>
      <c r="X20" s="132"/>
      <c r="Y20" s="133"/>
      <c r="Z20" s="131">
        <v>10</v>
      </c>
      <c r="AA20" s="132"/>
      <c r="AB20" s="133"/>
      <c r="AC20" s="48" t="s">
        <v>94</v>
      </c>
      <c r="AD20" s="53"/>
      <c r="AE20" s="53"/>
      <c r="AF20" s="53"/>
      <c r="AG20" s="53"/>
      <c r="AH20" s="53"/>
      <c r="AI20" s="53"/>
      <c r="AJ20" s="53"/>
      <c r="AK20" s="53"/>
      <c r="AL20" s="53"/>
      <c r="AM20" s="53"/>
      <c r="AN20" s="53"/>
      <c r="AO20" s="53"/>
      <c r="AP20" s="53"/>
      <c r="AQ20" s="53"/>
      <c r="AR20" s="53"/>
      <c r="AS20" s="53"/>
      <c r="AT20" s="53"/>
      <c r="AU20" s="53"/>
      <c r="AV20" s="53"/>
      <c r="AW20" s="53"/>
      <c r="AX20" s="53"/>
      <c r="AY20" s="53"/>
      <c r="AZ20" s="53"/>
      <c r="BA20" s="53"/>
      <c r="BB20" s="53"/>
      <c r="BC20" s="53"/>
      <c r="BD20" s="53"/>
      <c r="BE20" s="53"/>
      <c r="BF20" s="53"/>
      <c r="BG20" s="53"/>
      <c r="BH20" s="53"/>
      <c r="BI20" s="53"/>
      <c r="BJ20" s="54"/>
    </row>
    <row r="21" spans="1:62" s="47" customFormat="1" ht="40.5" customHeight="1">
      <c r="A21" s="130">
        <v>12</v>
      </c>
      <c r="B21" s="130"/>
      <c r="C21" s="130"/>
      <c r="D21" s="137" t="s">
        <v>248</v>
      </c>
      <c r="E21" s="138"/>
      <c r="F21" s="138"/>
      <c r="G21" s="138"/>
      <c r="H21" s="138"/>
      <c r="I21" s="138"/>
      <c r="J21" s="138"/>
      <c r="K21" s="138"/>
      <c r="L21" s="138"/>
      <c r="M21" s="138"/>
      <c r="N21" s="138"/>
      <c r="O21" s="138"/>
      <c r="P21" s="138"/>
      <c r="Q21" s="138"/>
      <c r="R21" s="138"/>
      <c r="S21" s="138"/>
      <c r="T21" s="139"/>
      <c r="U21" s="131" t="s">
        <v>66</v>
      </c>
      <c r="V21" s="132"/>
      <c r="W21" s="132"/>
      <c r="X21" s="132"/>
      <c r="Y21" s="133"/>
      <c r="Z21" s="131">
        <v>3</v>
      </c>
      <c r="AA21" s="132"/>
      <c r="AB21" s="133"/>
      <c r="AC21" s="48" t="s">
        <v>169</v>
      </c>
      <c r="AD21" s="53"/>
      <c r="AE21" s="53"/>
      <c r="AF21" s="53"/>
      <c r="AG21" s="53"/>
      <c r="AH21" s="53"/>
      <c r="AI21" s="53"/>
      <c r="AJ21" s="53"/>
      <c r="AK21" s="53"/>
      <c r="AL21" s="53"/>
      <c r="AM21" s="53"/>
      <c r="AN21" s="53"/>
      <c r="AO21" s="53"/>
      <c r="AP21" s="53"/>
      <c r="AQ21" s="53"/>
      <c r="AR21" s="53"/>
      <c r="AS21" s="53"/>
      <c r="AT21" s="53"/>
      <c r="AU21" s="53"/>
      <c r="AV21" s="53"/>
      <c r="AW21" s="53"/>
      <c r="AX21" s="53"/>
      <c r="AY21" s="53"/>
      <c r="AZ21" s="53"/>
      <c r="BA21" s="53"/>
      <c r="BB21" s="53"/>
      <c r="BC21" s="53"/>
      <c r="BD21" s="53"/>
      <c r="BE21" s="53"/>
      <c r="BF21" s="53"/>
      <c r="BG21" s="53"/>
      <c r="BH21" s="53"/>
      <c r="BI21" s="53"/>
      <c r="BJ21" s="54"/>
    </row>
    <row r="22" spans="1:62" s="47" customFormat="1" ht="40.5" customHeight="1">
      <c r="A22" s="130">
        <v>13</v>
      </c>
      <c r="B22" s="130"/>
      <c r="C22" s="130"/>
      <c r="D22" s="137" t="s">
        <v>249</v>
      </c>
      <c r="E22" s="138"/>
      <c r="F22" s="138"/>
      <c r="G22" s="138"/>
      <c r="H22" s="138"/>
      <c r="I22" s="138"/>
      <c r="J22" s="138"/>
      <c r="K22" s="138"/>
      <c r="L22" s="138"/>
      <c r="M22" s="138"/>
      <c r="N22" s="138"/>
      <c r="O22" s="138"/>
      <c r="P22" s="138"/>
      <c r="Q22" s="138"/>
      <c r="R22" s="138"/>
      <c r="S22" s="138"/>
      <c r="T22" s="139"/>
      <c r="U22" s="131" t="s">
        <v>65</v>
      </c>
      <c r="V22" s="132"/>
      <c r="W22" s="132"/>
      <c r="X22" s="132"/>
      <c r="Y22" s="133"/>
      <c r="Z22" s="131">
        <v>15</v>
      </c>
      <c r="AA22" s="132"/>
      <c r="AB22" s="133"/>
      <c r="AC22" s="48" t="s">
        <v>168</v>
      </c>
      <c r="AD22" s="53"/>
      <c r="AE22" s="53"/>
      <c r="AF22" s="53"/>
      <c r="AG22" s="53"/>
      <c r="AH22" s="53"/>
      <c r="AI22" s="53"/>
      <c r="AJ22" s="53"/>
      <c r="AK22" s="53"/>
      <c r="AL22" s="53"/>
      <c r="AM22" s="53"/>
      <c r="AN22" s="53"/>
      <c r="AO22" s="53"/>
      <c r="AP22" s="53"/>
      <c r="AQ22" s="53"/>
      <c r="AR22" s="53"/>
      <c r="AS22" s="53"/>
      <c r="AT22" s="53"/>
      <c r="AU22" s="53"/>
      <c r="AV22" s="53"/>
      <c r="AW22" s="53"/>
      <c r="AX22" s="53"/>
      <c r="AY22" s="53"/>
      <c r="AZ22" s="53"/>
      <c r="BA22" s="53"/>
      <c r="BB22" s="53"/>
      <c r="BC22" s="53"/>
      <c r="BD22" s="53"/>
      <c r="BE22" s="53"/>
      <c r="BF22" s="53"/>
      <c r="BG22" s="53"/>
      <c r="BH22" s="53"/>
      <c r="BI22" s="53"/>
      <c r="BJ22" s="54"/>
    </row>
    <row r="23" spans="1:62" s="47" customFormat="1" ht="40.5" customHeight="1">
      <c r="A23" s="130">
        <v>14</v>
      </c>
      <c r="B23" s="130"/>
      <c r="C23" s="130"/>
      <c r="D23" s="137" t="s">
        <v>272</v>
      </c>
      <c r="E23" s="138"/>
      <c r="F23" s="138"/>
      <c r="G23" s="138"/>
      <c r="H23" s="138"/>
      <c r="I23" s="138"/>
      <c r="J23" s="138"/>
      <c r="K23" s="138"/>
      <c r="L23" s="138"/>
      <c r="M23" s="138"/>
      <c r="N23" s="138"/>
      <c r="O23" s="138"/>
      <c r="P23" s="138"/>
      <c r="Q23" s="138"/>
      <c r="R23" s="138"/>
      <c r="S23" s="138"/>
      <c r="T23" s="139"/>
      <c r="U23" s="131" t="s">
        <v>66</v>
      </c>
      <c r="V23" s="132"/>
      <c r="W23" s="132"/>
      <c r="X23" s="132"/>
      <c r="Y23" s="133"/>
      <c r="Z23" s="131">
        <v>4</v>
      </c>
      <c r="AA23" s="132"/>
      <c r="AB23" s="133"/>
      <c r="AC23" s="48" t="s">
        <v>329</v>
      </c>
      <c r="AD23" s="53"/>
      <c r="AE23" s="53"/>
      <c r="AF23" s="53"/>
      <c r="AG23" s="53"/>
      <c r="AH23" s="53"/>
      <c r="AI23" s="53"/>
      <c r="AJ23" s="53"/>
      <c r="AK23" s="53"/>
      <c r="AL23" s="53"/>
      <c r="AM23" s="53"/>
      <c r="AN23" s="53"/>
      <c r="AO23" s="53"/>
      <c r="AP23" s="53"/>
      <c r="AQ23" s="53"/>
      <c r="AR23" s="53"/>
      <c r="AS23" s="53"/>
      <c r="AT23" s="53"/>
      <c r="AU23" s="53"/>
      <c r="AV23" s="53"/>
      <c r="AW23" s="53"/>
      <c r="AX23" s="53"/>
      <c r="AY23" s="53"/>
      <c r="AZ23" s="53"/>
      <c r="BA23" s="53"/>
      <c r="BB23" s="53"/>
      <c r="BC23" s="53"/>
      <c r="BD23" s="53"/>
      <c r="BE23" s="53"/>
      <c r="BF23" s="53"/>
      <c r="BG23" s="53"/>
      <c r="BH23" s="53"/>
      <c r="BI23" s="53"/>
      <c r="BJ23" s="54"/>
    </row>
    <row r="24" spans="1:62" s="47" customFormat="1" ht="40.5" customHeight="1">
      <c r="A24" s="130">
        <v>15</v>
      </c>
      <c r="B24" s="130"/>
      <c r="C24" s="130"/>
      <c r="D24" s="137" t="s">
        <v>292</v>
      </c>
      <c r="E24" s="138"/>
      <c r="F24" s="138"/>
      <c r="G24" s="138"/>
      <c r="H24" s="138"/>
      <c r="I24" s="138"/>
      <c r="J24" s="138"/>
      <c r="K24" s="138"/>
      <c r="L24" s="138"/>
      <c r="M24" s="138"/>
      <c r="N24" s="138"/>
      <c r="O24" s="138"/>
      <c r="P24" s="138"/>
      <c r="Q24" s="138"/>
      <c r="R24" s="138"/>
      <c r="S24" s="138"/>
      <c r="T24" s="139"/>
      <c r="U24" s="131" t="s">
        <v>65</v>
      </c>
      <c r="V24" s="132"/>
      <c r="W24" s="132"/>
      <c r="X24" s="132"/>
      <c r="Y24" s="133"/>
      <c r="Z24" s="131">
        <v>15</v>
      </c>
      <c r="AA24" s="132"/>
      <c r="AB24" s="133"/>
      <c r="AC24" s="48" t="s">
        <v>155</v>
      </c>
      <c r="AD24" s="53"/>
      <c r="AE24" s="53"/>
      <c r="AF24" s="53"/>
      <c r="AG24" s="53"/>
      <c r="AH24" s="53"/>
      <c r="AI24" s="53"/>
      <c r="AJ24" s="53"/>
      <c r="AK24" s="53"/>
      <c r="AL24" s="53"/>
      <c r="AM24" s="53"/>
      <c r="AN24" s="53"/>
      <c r="AO24" s="53"/>
      <c r="AP24" s="53"/>
      <c r="AQ24" s="53"/>
      <c r="AR24" s="53"/>
      <c r="AS24" s="53"/>
      <c r="AT24" s="53"/>
      <c r="AU24" s="53"/>
      <c r="AV24" s="53"/>
      <c r="AW24" s="53"/>
      <c r="AX24" s="53"/>
      <c r="AY24" s="53"/>
      <c r="AZ24" s="53"/>
      <c r="BA24" s="53"/>
      <c r="BB24" s="53"/>
      <c r="BC24" s="53"/>
      <c r="BD24" s="53"/>
      <c r="BE24" s="53"/>
      <c r="BF24" s="53"/>
      <c r="BG24" s="53"/>
      <c r="BH24" s="53"/>
      <c r="BI24" s="53"/>
      <c r="BJ24" s="54"/>
    </row>
    <row r="25" spans="1:62" s="47" customFormat="1" ht="40.5" customHeight="1">
      <c r="A25" s="130">
        <v>16</v>
      </c>
      <c r="B25" s="130"/>
      <c r="C25" s="130"/>
      <c r="D25" s="137" t="s">
        <v>59</v>
      </c>
      <c r="E25" s="138"/>
      <c r="F25" s="138"/>
      <c r="G25" s="138"/>
      <c r="H25" s="138"/>
      <c r="I25" s="138"/>
      <c r="J25" s="138"/>
      <c r="K25" s="138"/>
      <c r="L25" s="138"/>
      <c r="M25" s="138"/>
      <c r="N25" s="138"/>
      <c r="O25" s="138"/>
      <c r="P25" s="138"/>
      <c r="Q25" s="138"/>
      <c r="R25" s="138"/>
      <c r="S25" s="138"/>
      <c r="T25" s="139"/>
      <c r="U25" s="131" t="s">
        <v>66</v>
      </c>
      <c r="V25" s="132"/>
      <c r="W25" s="132"/>
      <c r="X25" s="132"/>
      <c r="Y25" s="133"/>
      <c r="Z25" s="131" t="s">
        <v>68</v>
      </c>
      <c r="AA25" s="132"/>
      <c r="AB25" s="133"/>
      <c r="AC25" s="48" t="s">
        <v>88</v>
      </c>
      <c r="AD25" s="53"/>
      <c r="AE25" s="53"/>
      <c r="AF25" s="53"/>
      <c r="AG25" s="53"/>
      <c r="AH25" s="53"/>
      <c r="AI25" s="53"/>
      <c r="AJ25" s="53"/>
      <c r="AK25" s="53"/>
      <c r="AL25" s="53"/>
      <c r="AM25" s="53"/>
      <c r="AN25" s="53"/>
      <c r="AO25" s="53"/>
      <c r="AP25" s="53"/>
      <c r="AQ25" s="53"/>
      <c r="AR25" s="53"/>
      <c r="AS25" s="53"/>
      <c r="AT25" s="53"/>
      <c r="AU25" s="53"/>
      <c r="AV25" s="53"/>
      <c r="AW25" s="53"/>
      <c r="AX25" s="53"/>
      <c r="AY25" s="53"/>
      <c r="AZ25" s="53"/>
      <c r="BA25" s="53"/>
      <c r="BB25" s="53"/>
      <c r="BC25" s="53"/>
      <c r="BD25" s="53"/>
      <c r="BE25" s="53"/>
      <c r="BF25" s="53"/>
      <c r="BG25" s="53"/>
      <c r="BH25" s="53"/>
      <c r="BI25" s="53"/>
      <c r="BJ25" s="54"/>
    </row>
    <row r="26" spans="1:62" s="47" customFormat="1" ht="40.5" customHeight="1">
      <c r="A26" s="130">
        <v>17</v>
      </c>
      <c r="B26" s="130"/>
      <c r="C26" s="130"/>
      <c r="D26" s="137" t="s">
        <v>60</v>
      </c>
      <c r="E26" s="138"/>
      <c r="F26" s="138"/>
      <c r="G26" s="138"/>
      <c r="H26" s="138"/>
      <c r="I26" s="138"/>
      <c r="J26" s="138"/>
      <c r="K26" s="138"/>
      <c r="L26" s="138"/>
      <c r="M26" s="138"/>
      <c r="N26" s="138"/>
      <c r="O26" s="138"/>
      <c r="P26" s="138"/>
      <c r="Q26" s="138"/>
      <c r="R26" s="138"/>
      <c r="S26" s="138"/>
      <c r="T26" s="139"/>
      <c r="U26" s="131" t="s">
        <v>65</v>
      </c>
      <c r="V26" s="132"/>
      <c r="W26" s="132"/>
      <c r="X26" s="132"/>
      <c r="Y26" s="133"/>
      <c r="Z26" s="131">
        <v>10</v>
      </c>
      <c r="AA26" s="132"/>
      <c r="AB26" s="133"/>
      <c r="AC26" s="48" t="s">
        <v>87</v>
      </c>
      <c r="AD26" s="53"/>
      <c r="AE26" s="53"/>
      <c r="AF26" s="53"/>
      <c r="AG26" s="53"/>
      <c r="AH26" s="53"/>
      <c r="AI26" s="53"/>
      <c r="AJ26" s="53"/>
      <c r="AK26" s="53"/>
      <c r="AL26" s="53"/>
      <c r="AM26" s="53"/>
      <c r="AN26" s="53"/>
      <c r="AO26" s="53"/>
      <c r="AP26" s="53"/>
      <c r="AQ26" s="53"/>
      <c r="AR26" s="53"/>
      <c r="AS26" s="53"/>
      <c r="AT26" s="53"/>
      <c r="AU26" s="53"/>
      <c r="AV26" s="53"/>
      <c r="AW26" s="53"/>
      <c r="AX26" s="53"/>
      <c r="AY26" s="53"/>
      <c r="AZ26" s="53"/>
      <c r="BA26" s="53"/>
      <c r="BB26" s="53"/>
      <c r="BC26" s="53"/>
      <c r="BD26" s="53"/>
      <c r="BE26" s="53"/>
      <c r="BF26" s="53"/>
      <c r="BG26" s="53"/>
      <c r="BH26" s="53"/>
      <c r="BI26" s="53"/>
      <c r="BJ26" s="54"/>
    </row>
    <row r="27" spans="1:62" s="47" customFormat="1" ht="40.5" customHeight="1">
      <c r="A27" s="130">
        <v>18</v>
      </c>
      <c r="B27" s="130"/>
      <c r="C27" s="130"/>
      <c r="D27" s="137" t="s">
        <v>293</v>
      </c>
      <c r="E27" s="138"/>
      <c r="F27" s="138"/>
      <c r="G27" s="138"/>
      <c r="H27" s="138"/>
      <c r="I27" s="138"/>
      <c r="J27" s="138"/>
      <c r="K27" s="138"/>
      <c r="L27" s="138"/>
      <c r="M27" s="138"/>
      <c r="N27" s="138"/>
      <c r="O27" s="138"/>
      <c r="P27" s="138"/>
      <c r="Q27" s="138"/>
      <c r="R27" s="138"/>
      <c r="S27" s="138"/>
      <c r="T27" s="139"/>
      <c r="U27" s="131" t="s">
        <v>66</v>
      </c>
      <c r="V27" s="132"/>
      <c r="W27" s="132"/>
      <c r="X27" s="132"/>
      <c r="Y27" s="133"/>
      <c r="Z27" s="131">
        <v>4</v>
      </c>
      <c r="AA27" s="132"/>
      <c r="AB27" s="133"/>
      <c r="AC27" s="48" t="s">
        <v>182</v>
      </c>
      <c r="AD27" s="53"/>
      <c r="AE27" s="53"/>
      <c r="AF27" s="53"/>
      <c r="AG27" s="53"/>
      <c r="AH27" s="53"/>
      <c r="AI27" s="53"/>
      <c r="AJ27" s="53"/>
      <c r="AK27" s="53"/>
      <c r="AL27" s="53"/>
      <c r="AM27" s="53"/>
      <c r="AN27" s="53"/>
      <c r="AO27" s="53"/>
      <c r="AP27" s="53"/>
      <c r="AQ27" s="53"/>
      <c r="AR27" s="53"/>
      <c r="AS27" s="53"/>
      <c r="AT27" s="53"/>
      <c r="AU27" s="53"/>
      <c r="AV27" s="53"/>
      <c r="AW27" s="53"/>
      <c r="AX27" s="53"/>
      <c r="AY27" s="53"/>
      <c r="AZ27" s="53"/>
      <c r="BA27" s="53"/>
      <c r="BB27" s="53"/>
      <c r="BC27" s="53"/>
      <c r="BD27" s="53"/>
      <c r="BE27" s="53"/>
      <c r="BF27" s="53"/>
      <c r="BG27" s="53"/>
      <c r="BH27" s="53"/>
      <c r="BI27" s="53"/>
      <c r="BJ27" s="54"/>
    </row>
    <row r="28" spans="1:62" s="47" customFormat="1" ht="40.5" customHeight="1">
      <c r="A28" s="130">
        <v>19</v>
      </c>
      <c r="B28" s="130"/>
      <c r="C28" s="130"/>
      <c r="D28" s="137" t="s">
        <v>294</v>
      </c>
      <c r="E28" s="138"/>
      <c r="F28" s="138"/>
      <c r="G28" s="138"/>
      <c r="H28" s="138"/>
      <c r="I28" s="138"/>
      <c r="J28" s="138"/>
      <c r="K28" s="138"/>
      <c r="L28" s="138"/>
      <c r="M28" s="138"/>
      <c r="N28" s="138"/>
      <c r="O28" s="138"/>
      <c r="P28" s="138"/>
      <c r="Q28" s="138"/>
      <c r="R28" s="138"/>
      <c r="S28" s="138"/>
      <c r="T28" s="139"/>
      <c r="U28" s="131" t="s">
        <v>65</v>
      </c>
      <c r="V28" s="132"/>
      <c r="W28" s="132"/>
      <c r="X28" s="132"/>
      <c r="Y28" s="133"/>
      <c r="Z28" s="131">
        <v>25</v>
      </c>
      <c r="AA28" s="132"/>
      <c r="AB28" s="133"/>
      <c r="AC28" s="48" t="s">
        <v>183</v>
      </c>
      <c r="AD28" s="53"/>
      <c r="AE28" s="53"/>
      <c r="AF28" s="53"/>
      <c r="AG28" s="53"/>
      <c r="AH28" s="53"/>
      <c r="AI28" s="53"/>
      <c r="AJ28" s="53"/>
      <c r="AK28" s="53"/>
      <c r="AL28" s="53"/>
      <c r="AM28" s="53"/>
      <c r="AN28" s="53"/>
      <c r="AO28" s="53"/>
      <c r="AP28" s="53"/>
      <c r="AQ28" s="53"/>
      <c r="AR28" s="53"/>
      <c r="AS28" s="53"/>
      <c r="AT28" s="53"/>
      <c r="AU28" s="53"/>
      <c r="AV28" s="53"/>
      <c r="AW28" s="53"/>
      <c r="AX28" s="53"/>
      <c r="AY28" s="53"/>
      <c r="AZ28" s="53"/>
      <c r="BA28" s="53"/>
      <c r="BB28" s="53"/>
      <c r="BC28" s="53"/>
      <c r="BD28" s="53"/>
      <c r="BE28" s="53"/>
      <c r="BF28" s="53"/>
      <c r="BG28" s="53"/>
      <c r="BH28" s="53"/>
      <c r="BI28" s="53"/>
      <c r="BJ28" s="54"/>
    </row>
    <row r="29" spans="1:62" s="47" customFormat="1" ht="40.5" customHeight="1">
      <c r="A29" s="130">
        <v>20</v>
      </c>
      <c r="B29" s="130"/>
      <c r="C29" s="130"/>
      <c r="D29" s="137" t="s">
        <v>100</v>
      </c>
      <c r="E29" s="138"/>
      <c r="F29" s="138"/>
      <c r="G29" s="138"/>
      <c r="H29" s="138"/>
      <c r="I29" s="138"/>
      <c r="J29" s="138"/>
      <c r="K29" s="138"/>
      <c r="L29" s="138"/>
      <c r="M29" s="138"/>
      <c r="N29" s="138"/>
      <c r="O29" s="138"/>
      <c r="P29" s="138"/>
      <c r="Q29" s="138"/>
      <c r="R29" s="138"/>
      <c r="S29" s="138"/>
      <c r="T29" s="139"/>
      <c r="U29" s="131" t="s">
        <v>66</v>
      </c>
      <c r="V29" s="132"/>
      <c r="W29" s="132"/>
      <c r="X29" s="132"/>
      <c r="Y29" s="133"/>
      <c r="Z29" s="131">
        <v>3</v>
      </c>
      <c r="AA29" s="132"/>
      <c r="AB29" s="133"/>
      <c r="AC29" s="48" t="s">
        <v>108</v>
      </c>
      <c r="AD29" s="53"/>
      <c r="AE29" s="53"/>
      <c r="AF29" s="53"/>
      <c r="AG29" s="53"/>
      <c r="AH29" s="53"/>
      <c r="AI29" s="53"/>
      <c r="AJ29" s="53"/>
      <c r="AK29" s="53"/>
      <c r="AL29" s="53"/>
      <c r="AM29" s="53"/>
      <c r="AN29" s="53"/>
      <c r="AO29" s="53"/>
      <c r="AP29" s="53"/>
      <c r="AQ29" s="53"/>
      <c r="AR29" s="53"/>
      <c r="AS29" s="53"/>
      <c r="AT29" s="53"/>
      <c r="AU29" s="53"/>
      <c r="AV29" s="53"/>
      <c r="AW29" s="53"/>
      <c r="AX29" s="53"/>
      <c r="AY29" s="53"/>
      <c r="AZ29" s="53"/>
      <c r="BA29" s="53"/>
      <c r="BB29" s="53"/>
      <c r="BC29" s="53"/>
      <c r="BD29" s="53"/>
      <c r="BE29" s="53"/>
      <c r="BF29" s="53"/>
      <c r="BG29" s="53"/>
      <c r="BH29" s="53"/>
      <c r="BI29" s="53"/>
      <c r="BJ29" s="54"/>
    </row>
    <row r="30" spans="1:62" s="47" customFormat="1" ht="40.5" customHeight="1">
      <c r="A30" s="130">
        <v>21</v>
      </c>
      <c r="B30" s="130"/>
      <c r="C30" s="130"/>
      <c r="D30" s="137" t="s">
        <v>102</v>
      </c>
      <c r="E30" s="138"/>
      <c r="F30" s="138"/>
      <c r="G30" s="138"/>
      <c r="H30" s="138"/>
      <c r="I30" s="138"/>
      <c r="J30" s="138"/>
      <c r="K30" s="138"/>
      <c r="L30" s="138"/>
      <c r="M30" s="138"/>
      <c r="N30" s="138"/>
      <c r="O30" s="138"/>
      <c r="P30" s="138"/>
      <c r="Q30" s="138"/>
      <c r="R30" s="138"/>
      <c r="S30" s="138"/>
      <c r="T30" s="139"/>
      <c r="U30" s="131" t="s">
        <v>65</v>
      </c>
      <c r="V30" s="132"/>
      <c r="W30" s="132"/>
      <c r="X30" s="132"/>
      <c r="Y30" s="133"/>
      <c r="Z30" s="131">
        <v>10</v>
      </c>
      <c r="AA30" s="132"/>
      <c r="AB30" s="133"/>
      <c r="AC30" s="48" t="s">
        <v>109</v>
      </c>
      <c r="AD30" s="53"/>
      <c r="AE30" s="53"/>
      <c r="AF30" s="53"/>
      <c r="AG30" s="53"/>
      <c r="AH30" s="53"/>
      <c r="AI30" s="53"/>
      <c r="AJ30" s="53"/>
      <c r="AK30" s="53"/>
      <c r="AL30" s="53"/>
      <c r="AM30" s="53"/>
      <c r="AN30" s="53"/>
      <c r="AO30" s="53"/>
      <c r="AP30" s="53"/>
      <c r="AQ30" s="53"/>
      <c r="AR30" s="53"/>
      <c r="AS30" s="53"/>
      <c r="AT30" s="53"/>
      <c r="AU30" s="53"/>
      <c r="AV30" s="53"/>
      <c r="AW30" s="53"/>
      <c r="AX30" s="53"/>
      <c r="AY30" s="53"/>
      <c r="AZ30" s="53"/>
      <c r="BA30" s="53"/>
      <c r="BB30" s="53"/>
      <c r="BC30" s="53"/>
      <c r="BD30" s="53"/>
      <c r="BE30" s="53"/>
      <c r="BF30" s="53"/>
      <c r="BG30" s="53"/>
      <c r="BH30" s="53"/>
      <c r="BI30" s="53"/>
      <c r="BJ30" s="54"/>
    </row>
    <row r="31" spans="1:62" s="47" customFormat="1" ht="40.5" customHeight="1">
      <c r="A31" s="130">
        <v>22</v>
      </c>
      <c r="B31" s="130"/>
      <c r="C31" s="130"/>
      <c r="D31" s="137" t="s">
        <v>61</v>
      </c>
      <c r="E31" s="138"/>
      <c r="F31" s="138"/>
      <c r="G31" s="138"/>
      <c r="H31" s="138"/>
      <c r="I31" s="138"/>
      <c r="J31" s="138"/>
      <c r="K31" s="138"/>
      <c r="L31" s="138"/>
      <c r="M31" s="138"/>
      <c r="N31" s="138"/>
      <c r="O31" s="138"/>
      <c r="P31" s="138"/>
      <c r="Q31" s="138"/>
      <c r="R31" s="138"/>
      <c r="S31" s="138"/>
      <c r="T31" s="139"/>
      <c r="U31" s="131" t="s">
        <v>66</v>
      </c>
      <c r="V31" s="132"/>
      <c r="W31" s="132"/>
      <c r="X31" s="132"/>
      <c r="Y31" s="133"/>
      <c r="Z31" s="131" t="s">
        <v>69</v>
      </c>
      <c r="AA31" s="132"/>
      <c r="AB31" s="133"/>
      <c r="AC31" s="48">
        <v>0</v>
      </c>
      <c r="AD31" s="53"/>
      <c r="AE31" s="53"/>
      <c r="AF31" s="53"/>
      <c r="AG31" s="53"/>
      <c r="AH31" s="53"/>
      <c r="AI31" s="53"/>
      <c r="AJ31" s="53"/>
      <c r="AK31" s="53"/>
      <c r="AL31" s="53"/>
      <c r="AM31" s="53"/>
      <c r="AN31" s="53"/>
      <c r="AO31" s="53"/>
      <c r="AP31" s="53"/>
      <c r="AQ31" s="53"/>
      <c r="AR31" s="53"/>
      <c r="AS31" s="53"/>
      <c r="AT31" s="53"/>
      <c r="AU31" s="53"/>
      <c r="AV31" s="53"/>
      <c r="AW31" s="53"/>
      <c r="AX31" s="53"/>
      <c r="AY31" s="53"/>
      <c r="AZ31" s="53"/>
      <c r="BA31" s="53"/>
      <c r="BB31" s="53"/>
      <c r="BC31" s="53"/>
      <c r="BD31" s="53"/>
      <c r="BE31" s="53"/>
      <c r="BF31" s="53"/>
      <c r="BG31" s="53"/>
      <c r="BH31" s="53"/>
      <c r="BI31" s="53"/>
      <c r="BJ31" s="54"/>
    </row>
    <row r="32" spans="1:62" s="47" customFormat="1" ht="40.5" customHeight="1">
      <c r="A32" s="116">
        <v>23</v>
      </c>
      <c r="B32" s="116"/>
      <c r="C32" s="116"/>
      <c r="D32" s="140" t="s">
        <v>62</v>
      </c>
      <c r="E32" s="141"/>
      <c r="F32" s="141"/>
      <c r="G32" s="141"/>
      <c r="H32" s="141"/>
      <c r="I32" s="141"/>
      <c r="J32" s="141"/>
      <c r="K32" s="141"/>
      <c r="L32" s="141"/>
      <c r="M32" s="141"/>
      <c r="N32" s="141"/>
      <c r="O32" s="141"/>
      <c r="P32" s="141"/>
      <c r="Q32" s="141"/>
      <c r="R32" s="141"/>
      <c r="S32" s="141"/>
      <c r="T32" s="142"/>
      <c r="U32" s="120" t="s">
        <v>66</v>
      </c>
      <c r="V32" s="121"/>
      <c r="W32" s="121"/>
      <c r="X32" s="121"/>
      <c r="Y32" s="122"/>
      <c r="Z32" s="120" t="s">
        <v>67</v>
      </c>
      <c r="AA32" s="121"/>
      <c r="AB32" s="122"/>
      <c r="AC32" s="83" t="s">
        <v>110</v>
      </c>
      <c r="AD32" s="76"/>
      <c r="AE32" s="76"/>
      <c r="AF32" s="76"/>
      <c r="AG32" s="76"/>
      <c r="AH32" s="76"/>
      <c r="AI32" s="76"/>
      <c r="AJ32" s="76"/>
      <c r="AK32" s="76"/>
      <c r="AL32" s="76"/>
      <c r="AM32" s="76"/>
      <c r="AN32" s="76"/>
      <c r="AO32" s="76"/>
      <c r="AP32" s="76"/>
      <c r="AQ32" s="76"/>
      <c r="AR32" s="76"/>
      <c r="AS32" s="76"/>
      <c r="AT32" s="76"/>
      <c r="AU32" s="76"/>
      <c r="AV32" s="76"/>
      <c r="AW32" s="76"/>
      <c r="AX32" s="76"/>
      <c r="AY32" s="76"/>
      <c r="AZ32" s="76"/>
      <c r="BA32" s="76"/>
      <c r="BB32" s="76"/>
      <c r="BC32" s="76"/>
      <c r="BD32" s="76"/>
      <c r="BE32" s="76"/>
      <c r="BF32" s="76"/>
      <c r="BG32" s="76"/>
      <c r="BH32" s="76"/>
      <c r="BI32" s="76"/>
      <c r="BJ32" s="77"/>
    </row>
    <row r="33" spans="1:62" s="47" customFormat="1" ht="67.95" customHeight="1">
      <c r="A33" s="114">
        <v>24</v>
      </c>
      <c r="B33" s="114"/>
      <c r="C33" s="114"/>
      <c r="D33" s="152" t="s">
        <v>63</v>
      </c>
      <c r="E33" s="153"/>
      <c r="F33" s="153"/>
      <c r="G33" s="153"/>
      <c r="H33" s="153"/>
      <c r="I33" s="153"/>
      <c r="J33" s="153"/>
      <c r="K33" s="153"/>
      <c r="L33" s="153"/>
      <c r="M33" s="153"/>
      <c r="N33" s="153"/>
      <c r="O33" s="153"/>
      <c r="P33" s="153"/>
      <c r="Q33" s="153"/>
      <c r="R33" s="153"/>
      <c r="S33" s="153"/>
      <c r="T33" s="154"/>
      <c r="U33" s="143" t="s">
        <v>65</v>
      </c>
      <c r="V33" s="144"/>
      <c r="W33" s="144"/>
      <c r="X33" s="144"/>
      <c r="Y33" s="145"/>
      <c r="Z33" s="143">
        <v>14</v>
      </c>
      <c r="AA33" s="144"/>
      <c r="AB33" s="145"/>
      <c r="AC33" s="80" t="s">
        <v>111</v>
      </c>
      <c r="AD33" s="81"/>
      <c r="AE33" s="81"/>
      <c r="AF33" s="81"/>
      <c r="AG33" s="81"/>
      <c r="AH33" s="81"/>
      <c r="AI33" s="81"/>
      <c r="AJ33" s="81"/>
      <c r="AK33" s="81"/>
      <c r="AL33" s="81"/>
      <c r="AM33" s="81"/>
      <c r="AN33" s="81"/>
      <c r="AO33" s="81"/>
      <c r="AP33" s="81"/>
      <c r="AQ33" s="81"/>
      <c r="AR33" s="81"/>
      <c r="AS33" s="81"/>
      <c r="AT33" s="81"/>
      <c r="AU33" s="81"/>
      <c r="AV33" s="81"/>
      <c r="AW33" s="81"/>
      <c r="AX33" s="81"/>
      <c r="AY33" s="81"/>
      <c r="AZ33" s="81"/>
      <c r="BA33" s="81"/>
      <c r="BB33" s="81"/>
      <c r="BC33" s="81"/>
      <c r="BD33" s="81"/>
      <c r="BE33" s="81"/>
      <c r="BF33" s="81"/>
      <c r="BG33" s="81"/>
      <c r="BH33" s="81"/>
      <c r="BI33" s="81"/>
      <c r="BJ33" s="82"/>
    </row>
    <row r="34" spans="1:62" s="47" customFormat="1" ht="68.400000000000006" customHeight="1">
      <c r="A34" s="130">
        <v>25</v>
      </c>
      <c r="B34" s="130"/>
      <c r="C34" s="130"/>
      <c r="D34" s="137" t="s">
        <v>181</v>
      </c>
      <c r="E34" s="138"/>
      <c r="F34" s="138"/>
      <c r="G34" s="138"/>
      <c r="H34" s="138"/>
      <c r="I34" s="138"/>
      <c r="J34" s="138"/>
      <c r="K34" s="138"/>
      <c r="L34" s="138"/>
      <c r="M34" s="138"/>
      <c r="N34" s="138"/>
      <c r="O34" s="138"/>
      <c r="P34" s="138"/>
      <c r="Q34" s="138"/>
      <c r="R34" s="138"/>
      <c r="S34" s="138"/>
      <c r="T34" s="139"/>
      <c r="U34" s="131" t="s">
        <v>103</v>
      </c>
      <c r="V34" s="132"/>
      <c r="W34" s="132"/>
      <c r="X34" s="132"/>
      <c r="Y34" s="133"/>
      <c r="Z34" s="143">
        <v>14</v>
      </c>
      <c r="AA34" s="144"/>
      <c r="AB34" s="145"/>
      <c r="AC34" s="48" t="s">
        <v>112</v>
      </c>
      <c r="AD34" s="53"/>
      <c r="AE34" s="53"/>
      <c r="AF34" s="53"/>
      <c r="AG34" s="53"/>
      <c r="AH34" s="53"/>
      <c r="AI34" s="53"/>
      <c r="AJ34" s="53"/>
      <c r="AK34" s="53"/>
      <c r="AL34" s="53"/>
      <c r="AM34" s="53"/>
      <c r="AN34" s="53"/>
      <c r="AO34" s="53"/>
      <c r="AP34" s="53"/>
      <c r="AQ34" s="53"/>
      <c r="AR34" s="53"/>
      <c r="AS34" s="53"/>
      <c r="AT34" s="53"/>
      <c r="AU34" s="53"/>
      <c r="AV34" s="53"/>
      <c r="AW34" s="53"/>
      <c r="AX34" s="53"/>
      <c r="AY34" s="53"/>
      <c r="AZ34" s="53"/>
      <c r="BA34" s="53"/>
      <c r="BB34" s="53"/>
      <c r="BC34" s="53"/>
      <c r="BD34" s="53"/>
      <c r="BE34" s="53"/>
      <c r="BF34" s="53"/>
      <c r="BG34" s="53"/>
      <c r="BH34" s="53"/>
      <c r="BI34" s="53"/>
      <c r="BJ34" s="54"/>
    </row>
    <row r="35" spans="1:62" s="47" customFormat="1" ht="62.4" customHeight="1">
      <c r="A35" s="130">
        <v>26</v>
      </c>
      <c r="B35" s="130"/>
      <c r="C35" s="130"/>
      <c r="D35" s="137" t="s">
        <v>180</v>
      </c>
      <c r="E35" s="138"/>
      <c r="F35" s="138"/>
      <c r="G35" s="138"/>
      <c r="H35" s="138"/>
      <c r="I35" s="138"/>
      <c r="J35" s="138"/>
      <c r="K35" s="138"/>
      <c r="L35" s="138"/>
      <c r="M35" s="138"/>
      <c r="N35" s="138"/>
      <c r="O35" s="138"/>
      <c r="P35" s="138"/>
      <c r="Q35" s="138"/>
      <c r="R35" s="138"/>
      <c r="S35" s="138"/>
      <c r="T35" s="139"/>
      <c r="U35" s="131" t="s">
        <v>64</v>
      </c>
      <c r="V35" s="132"/>
      <c r="W35" s="132"/>
      <c r="X35" s="132"/>
      <c r="Y35" s="133"/>
      <c r="Z35" s="131">
        <v>14</v>
      </c>
      <c r="AA35" s="132"/>
      <c r="AB35" s="133"/>
      <c r="AC35" s="48" t="s">
        <v>113</v>
      </c>
      <c r="AD35" s="53"/>
      <c r="AE35" s="53"/>
      <c r="AF35" s="53"/>
      <c r="AG35" s="53"/>
      <c r="AH35" s="53"/>
      <c r="AI35" s="53"/>
      <c r="AJ35" s="53"/>
      <c r="AK35" s="53"/>
      <c r="AL35" s="53"/>
      <c r="AM35" s="53"/>
      <c r="AN35" s="53"/>
      <c r="AO35" s="53"/>
      <c r="AP35" s="53"/>
      <c r="AQ35" s="53"/>
      <c r="AR35" s="53"/>
      <c r="AS35" s="53"/>
      <c r="AT35" s="53"/>
      <c r="AU35" s="53"/>
      <c r="AV35" s="53"/>
      <c r="AW35" s="53"/>
      <c r="AX35" s="53"/>
      <c r="AY35" s="53"/>
      <c r="AZ35" s="53"/>
      <c r="BA35" s="53"/>
      <c r="BB35" s="53"/>
      <c r="BC35" s="53"/>
      <c r="BD35" s="53"/>
      <c r="BE35" s="53"/>
      <c r="BF35" s="53"/>
      <c r="BG35" s="53"/>
      <c r="BH35" s="53"/>
      <c r="BI35" s="53"/>
      <c r="BJ35" s="54"/>
    </row>
    <row r="36" spans="1:62" s="47" customFormat="1" ht="62.4" customHeight="1">
      <c r="A36" s="130">
        <v>27</v>
      </c>
      <c r="B36" s="130"/>
      <c r="C36" s="130"/>
      <c r="D36" s="137" t="s">
        <v>170</v>
      </c>
      <c r="E36" s="138"/>
      <c r="F36" s="138"/>
      <c r="G36" s="138"/>
      <c r="H36" s="138"/>
      <c r="I36" s="138"/>
      <c r="J36" s="138"/>
      <c r="K36" s="138"/>
      <c r="L36" s="138"/>
      <c r="M36" s="138"/>
      <c r="N36" s="138"/>
      <c r="O36" s="138"/>
      <c r="P36" s="138"/>
      <c r="Q36" s="138"/>
      <c r="R36" s="138"/>
      <c r="S36" s="138"/>
      <c r="T36" s="139"/>
      <c r="U36" s="131" t="s">
        <v>64</v>
      </c>
      <c r="V36" s="132"/>
      <c r="W36" s="132"/>
      <c r="X36" s="132"/>
      <c r="Y36" s="133"/>
      <c r="Z36" s="131" t="s">
        <v>319</v>
      </c>
      <c r="AA36" s="132"/>
      <c r="AB36" s="133"/>
      <c r="AC36" s="48" t="s">
        <v>114</v>
      </c>
      <c r="AD36" s="53"/>
      <c r="AE36" s="53"/>
      <c r="AF36" s="53"/>
      <c r="AG36" s="53"/>
      <c r="AH36" s="53"/>
      <c r="AI36" s="53"/>
      <c r="AJ36" s="53"/>
      <c r="AK36" s="53"/>
      <c r="AL36" s="53"/>
      <c r="AM36" s="53"/>
      <c r="AN36" s="53"/>
      <c r="AO36" s="53"/>
      <c r="AP36" s="53"/>
      <c r="AQ36" s="53"/>
      <c r="AR36" s="53"/>
      <c r="AS36" s="53"/>
      <c r="AT36" s="53"/>
      <c r="AU36" s="53"/>
      <c r="AV36" s="53"/>
      <c r="AW36" s="53"/>
      <c r="AX36" s="53"/>
      <c r="AY36" s="53"/>
      <c r="AZ36" s="53"/>
      <c r="BA36" s="53"/>
      <c r="BB36" s="53"/>
      <c r="BC36" s="53"/>
      <c r="BD36" s="53"/>
      <c r="BE36" s="53"/>
      <c r="BF36" s="53"/>
      <c r="BG36" s="53"/>
      <c r="BH36" s="53"/>
      <c r="BI36" s="53"/>
      <c r="BJ36" s="54"/>
    </row>
    <row r="37" spans="1:62" s="47" customFormat="1" ht="40.5" customHeight="1">
      <c r="A37" s="130">
        <v>28</v>
      </c>
      <c r="B37" s="130"/>
      <c r="C37" s="130"/>
      <c r="D37" s="137" t="s">
        <v>171</v>
      </c>
      <c r="E37" s="138"/>
      <c r="F37" s="138"/>
      <c r="G37" s="138"/>
      <c r="H37" s="138"/>
      <c r="I37" s="138"/>
      <c r="J37" s="138"/>
      <c r="K37" s="138"/>
      <c r="L37" s="138"/>
      <c r="M37" s="138"/>
      <c r="N37" s="138"/>
      <c r="O37" s="138"/>
      <c r="P37" s="138"/>
      <c r="Q37" s="138"/>
      <c r="R37" s="138"/>
      <c r="S37" s="138"/>
      <c r="T37" s="139"/>
      <c r="U37" s="131" t="s">
        <v>64</v>
      </c>
      <c r="V37" s="132"/>
      <c r="W37" s="132"/>
      <c r="X37" s="132"/>
      <c r="Y37" s="133"/>
      <c r="Z37" s="143">
        <v>14</v>
      </c>
      <c r="AA37" s="144"/>
      <c r="AB37" s="145"/>
      <c r="AC37" s="48" t="s">
        <v>115</v>
      </c>
      <c r="AD37" s="53"/>
      <c r="AE37" s="53"/>
      <c r="AF37" s="53"/>
      <c r="AG37" s="53"/>
      <c r="AH37" s="53"/>
      <c r="AI37" s="53"/>
      <c r="AJ37" s="53"/>
      <c r="AK37" s="53"/>
      <c r="AL37" s="53"/>
      <c r="AM37" s="53"/>
      <c r="AN37" s="53"/>
      <c r="AO37" s="53"/>
      <c r="AP37" s="53"/>
      <c r="AQ37" s="53"/>
      <c r="AR37" s="53"/>
      <c r="AS37" s="53"/>
      <c r="AT37" s="53"/>
      <c r="AU37" s="53"/>
      <c r="AV37" s="53"/>
      <c r="AW37" s="53"/>
      <c r="AX37" s="53"/>
      <c r="AY37" s="53"/>
      <c r="AZ37" s="53"/>
      <c r="BA37" s="53"/>
      <c r="BB37" s="53"/>
      <c r="BC37" s="53"/>
      <c r="BD37" s="53"/>
      <c r="BE37" s="53"/>
      <c r="BF37" s="53"/>
      <c r="BG37" s="53"/>
      <c r="BH37" s="53"/>
      <c r="BI37" s="53"/>
      <c r="BJ37" s="54"/>
    </row>
    <row r="38" spans="1:62" s="47" customFormat="1" ht="40.5" customHeight="1">
      <c r="A38" s="130">
        <v>29</v>
      </c>
      <c r="B38" s="130"/>
      <c r="C38" s="130"/>
      <c r="D38" s="137" t="s">
        <v>172</v>
      </c>
      <c r="E38" s="138"/>
      <c r="F38" s="138"/>
      <c r="G38" s="138"/>
      <c r="H38" s="138"/>
      <c r="I38" s="138"/>
      <c r="J38" s="138"/>
      <c r="K38" s="138"/>
      <c r="L38" s="138"/>
      <c r="M38" s="138"/>
      <c r="N38" s="138"/>
      <c r="O38" s="138"/>
      <c r="P38" s="138"/>
      <c r="Q38" s="138"/>
      <c r="R38" s="138"/>
      <c r="S38" s="138"/>
      <c r="T38" s="139"/>
      <c r="U38" s="131" t="s">
        <v>64</v>
      </c>
      <c r="V38" s="132"/>
      <c r="W38" s="132"/>
      <c r="X38" s="132"/>
      <c r="Y38" s="133"/>
      <c r="Z38" s="131" t="s">
        <v>319</v>
      </c>
      <c r="AA38" s="132"/>
      <c r="AB38" s="133"/>
      <c r="AC38" s="48" t="s">
        <v>116</v>
      </c>
      <c r="AD38" s="53"/>
      <c r="AE38" s="53"/>
      <c r="AF38" s="53"/>
      <c r="AG38" s="53"/>
      <c r="AH38" s="53"/>
      <c r="AI38" s="53"/>
      <c r="AJ38" s="53"/>
      <c r="AK38" s="53"/>
      <c r="AL38" s="53"/>
      <c r="AM38" s="53"/>
      <c r="AN38" s="53"/>
      <c r="AO38" s="53"/>
      <c r="AP38" s="53"/>
      <c r="AQ38" s="53"/>
      <c r="AR38" s="53"/>
      <c r="AS38" s="53"/>
      <c r="AT38" s="53"/>
      <c r="AU38" s="53"/>
      <c r="AV38" s="53"/>
      <c r="AW38" s="53"/>
      <c r="AX38" s="53"/>
      <c r="AY38" s="53"/>
      <c r="AZ38" s="53"/>
      <c r="BA38" s="53"/>
      <c r="BB38" s="53"/>
      <c r="BC38" s="53"/>
      <c r="BD38" s="53"/>
      <c r="BE38" s="53"/>
      <c r="BF38" s="53"/>
      <c r="BG38" s="53"/>
      <c r="BH38" s="53"/>
      <c r="BI38" s="53"/>
      <c r="BJ38" s="54"/>
    </row>
    <row r="39" spans="1:62" s="47" customFormat="1" ht="40.5" customHeight="1">
      <c r="A39" s="130">
        <v>30</v>
      </c>
      <c r="B39" s="130"/>
      <c r="C39" s="130"/>
      <c r="D39" s="137" t="s">
        <v>173</v>
      </c>
      <c r="E39" s="138"/>
      <c r="F39" s="138"/>
      <c r="G39" s="138"/>
      <c r="H39" s="138"/>
      <c r="I39" s="138"/>
      <c r="J39" s="138"/>
      <c r="K39" s="138"/>
      <c r="L39" s="138"/>
      <c r="M39" s="138"/>
      <c r="N39" s="138"/>
      <c r="O39" s="138"/>
      <c r="P39" s="138"/>
      <c r="Q39" s="138"/>
      <c r="R39" s="138"/>
      <c r="S39" s="138"/>
      <c r="T39" s="139"/>
      <c r="U39" s="131" t="s">
        <v>64</v>
      </c>
      <c r="V39" s="132"/>
      <c r="W39" s="132"/>
      <c r="X39" s="132"/>
      <c r="Y39" s="133"/>
      <c r="Z39" s="131">
        <v>14</v>
      </c>
      <c r="AA39" s="132"/>
      <c r="AB39" s="133"/>
      <c r="AC39" s="48" t="s">
        <v>117</v>
      </c>
      <c r="AD39" s="53"/>
      <c r="AE39" s="53"/>
      <c r="AF39" s="53"/>
      <c r="AG39" s="53"/>
      <c r="AH39" s="53"/>
      <c r="AI39" s="53"/>
      <c r="AJ39" s="53"/>
      <c r="AK39" s="53"/>
      <c r="AL39" s="53"/>
      <c r="AM39" s="53"/>
      <c r="AN39" s="53"/>
      <c r="AO39" s="53"/>
      <c r="AP39" s="53"/>
      <c r="AQ39" s="53"/>
      <c r="AR39" s="53"/>
      <c r="AS39" s="53"/>
      <c r="AT39" s="53"/>
      <c r="AU39" s="53"/>
      <c r="AV39" s="53"/>
      <c r="AW39" s="53"/>
      <c r="AX39" s="53"/>
      <c r="AY39" s="53"/>
      <c r="AZ39" s="53"/>
      <c r="BA39" s="53"/>
      <c r="BB39" s="53"/>
      <c r="BC39" s="53"/>
      <c r="BD39" s="53"/>
      <c r="BE39" s="53"/>
      <c r="BF39" s="53"/>
      <c r="BG39" s="53"/>
      <c r="BH39" s="53"/>
      <c r="BI39" s="53"/>
      <c r="BJ39" s="54"/>
    </row>
    <row r="40" spans="1:62" s="47" customFormat="1" ht="40.5" customHeight="1">
      <c r="A40" s="130">
        <v>31</v>
      </c>
      <c r="B40" s="130"/>
      <c r="C40" s="130"/>
      <c r="D40" s="137" t="s">
        <v>174</v>
      </c>
      <c r="E40" s="138"/>
      <c r="F40" s="138"/>
      <c r="G40" s="138"/>
      <c r="H40" s="138"/>
      <c r="I40" s="138"/>
      <c r="J40" s="138"/>
      <c r="K40" s="138"/>
      <c r="L40" s="138"/>
      <c r="M40" s="138"/>
      <c r="N40" s="138"/>
      <c r="O40" s="138"/>
      <c r="P40" s="138"/>
      <c r="Q40" s="138"/>
      <c r="R40" s="138"/>
      <c r="S40" s="138"/>
      <c r="T40" s="139"/>
      <c r="U40" s="131" t="s">
        <v>64</v>
      </c>
      <c r="V40" s="132"/>
      <c r="W40" s="132"/>
      <c r="X40" s="132"/>
      <c r="Y40" s="133"/>
      <c r="Z40" s="131">
        <v>14</v>
      </c>
      <c r="AA40" s="132"/>
      <c r="AB40" s="133"/>
      <c r="AC40" s="48" t="s">
        <v>118</v>
      </c>
      <c r="AD40" s="53"/>
      <c r="AE40" s="53"/>
      <c r="AF40" s="53"/>
      <c r="AG40" s="53"/>
      <c r="AH40" s="53"/>
      <c r="AI40" s="53"/>
      <c r="AJ40" s="53"/>
      <c r="AK40" s="53"/>
      <c r="AL40" s="53"/>
      <c r="AM40" s="53"/>
      <c r="AN40" s="53"/>
      <c r="AO40" s="53"/>
      <c r="AP40" s="53"/>
      <c r="AQ40" s="53"/>
      <c r="AR40" s="53"/>
      <c r="AS40" s="53"/>
      <c r="AT40" s="53"/>
      <c r="AU40" s="53"/>
      <c r="AV40" s="53"/>
      <c r="AW40" s="53"/>
      <c r="AX40" s="53"/>
      <c r="AY40" s="53"/>
      <c r="AZ40" s="53"/>
      <c r="BA40" s="53"/>
      <c r="BB40" s="53"/>
      <c r="BC40" s="53"/>
      <c r="BD40" s="53"/>
      <c r="BE40" s="53"/>
      <c r="BF40" s="53"/>
      <c r="BG40" s="53"/>
      <c r="BH40" s="53"/>
      <c r="BI40" s="53"/>
      <c r="BJ40" s="54"/>
    </row>
    <row r="41" spans="1:62" s="47" customFormat="1" ht="40.5" customHeight="1">
      <c r="A41" s="130">
        <v>32</v>
      </c>
      <c r="B41" s="130"/>
      <c r="C41" s="130"/>
      <c r="D41" s="137" t="s">
        <v>179</v>
      </c>
      <c r="E41" s="138"/>
      <c r="F41" s="138"/>
      <c r="G41" s="138"/>
      <c r="H41" s="138"/>
      <c r="I41" s="138"/>
      <c r="J41" s="138"/>
      <c r="K41" s="138"/>
      <c r="L41" s="138"/>
      <c r="M41" s="138"/>
      <c r="N41" s="138"/>
      <c r="O41" s="138"/>
      <c r="P41" s="138"/>
      <c r="Q41" s="138"/>
      <c r="R41" s="138"/>
      <c r="S41" s="138"/>
      <c r="T41" s="139"/>
      <c r="U41" s="131" t="s">
        <v>64</v>
      </c>
      <c r="V41" s="132"/>
      <c r="W41" s="132"/>
      <c r="X41" s="132"/>
      <c r="Y41" s="133"/>
      <c r="Z41" s="131">
        <v>14</v>
      </c>
      <c r="AA41" s="132"/>
      <c r="AB41" s="133"/>
      <c r="AC41" s="48" t="s">
        <v>119</v>
      </c>
      <c r="AD41" s="53"/>
      <c r="AE41" s="53"/>
      <c r="AF41" s="53"/>
      <c r="AG41" s="53"/>
      <c r="AH41" s="53"/>
      <c r="AI41" s="53"/>
      <c r="AJ41" s="53"/>
      <c r="AK41" s="53"/>
      <c r="AL41" s="53"/>
      <c r="AM41" s="53"/>
      <c r="AN41" s="53"/>
      <c r="AO41" s="53"/>
      <c r="AP41" s="53"/>
      <c r="AQ41" s="53"/>
      <c r="AR41" s="53"/>
      <c r="AS41" s="53"/>
      <c r="AT41" s="53"/>
      <c r="AU41" s="53"/>
      <c r="AV41" s="53"/>
      <c r="AW41" s="53"/>
      <c r="AX41" s="53"/>
      <c r="AY41" s="53"/>
      <c r="AZ41" s="53"/>
      <c r="BA41" s="53"/>
      <c r="BB41" s="53"/>
      <c r="BC41" s="53"/>
      <c r="BD41" s="53"/>
      <c r="BE41" s="53"/>
      <c r="BF41" s="53"/>
      <c r="BG41" s="53"/>
      <c r="BH41" s="53"/>
      <c r="BI41" s="53"/>
      <c r="BJ41" s="54"/>
    </row>
    <row r="42" spans="1:62" s="47" customFormat="1" ht="64.2" customHeight="1">
      <c r="A42" s="130">
        <v>33</v>
      </c>
      <c r="B42" s="130"/>
      <c r="C42" s="130"/>
      <c r="D42" s="137" t="s">
        <v>175</v>
      </c>
      <c r="E42" s="138"/>
      <c r="F42" s="138"/>
      <c r="G42" s="138"/>
      <c r="H42" s="138"/>
      <c r="I42" s="138"/>
      <c r="J42" s="138"/>
      <c r="K42" s="138"/>
      <c r="L42" s="138"/>
      <c r="M42" s="138"/>
      <c r="N42" s="138"/>
      <c r="O42" s="138"/>
      <c r="P42" s="138"/>
      <c r="Q42" s="138"/>
      <c r="R42" s="138"/>
      <c r="S42" s="138"/>
      <c r="T42" s="139"/>
      <c r="U42" s="131" t="s">
        <v>64</v>
      </c>
      <c r="V42" s="132"/>
      <c r="W42" s="132"/>
      <c r="X42" s="132"/>
      <c r="Y42" s="133"/>
      <c r="Z42" s="131">
        <v>14</v>
      </c>
      <c r="AA42" s="132"/>
      <c r="AB42" s="133"/>
      <c r="AC42" s="48" t="s">
        <v>120</v>
      </c>
      <c r="AD42" s="53"/>
      <c r="AE42" s="53"/>
      <c r="AF42" s="53"/>
      <c r="AG42" s="53"/>
      <c r="AH42" s="53"/>
      <c r="AI42" s="53"/>
      <c r="AJ42" s="53"/>
      <c r="AK42" s="53"/>
      <c r="AL42" s="53"/>
      <c r="AM42" s="53"/>
      <c r="AN42" s="53"/>
      <c r="AO42" s="53"/>
      <c r="AP42" s="53"/>
      <c r="AQ42" s="53"/>
      <c r="AR42" s="53"/>
      <c r="AS42" s="53"/>
      <c r="AT42" s="53"/>
      <c r="AU42" s="53"/>
      <c r="AV42" s="53"/>
      <c r="AW42" s="53"/>
      <c r="AX42" s="53"/>
      <c r="AY42" s="53"/>
      <c r="AZ42" s="53"/>
      <c r="BA42" s="53"/>
      <c r="BB42" s="53"/>
      <c r="BC42" s="53"/>
      <c r="BD42" s="53"/>
      <c r="BE42" s="53"/>
      <c r="BF42" s="53"/>
      <c r="BG42" s="53"/>
      <c r="BH42" s="53"/>
      <c r="BI42" s="53"/>
      <c r="BJ42" s="54"/>
    </row>
    <row r="43" spans="1:62" s="47" customFormat="1" ht="40.5" customHeight="1">
      <c r="A43" s="130">
        <v>34</v>
      </c>
      <c r="B43" s="130"/>
      <c r="C43" s="130"/>
      <c r="D43" s="137" t="s">
        <v>176</v>
      </c>
      <c r="E43" s="138"/>
      <c r="F43" s="138"/>
      <c r="G43" s="138"/>
      <c r="H43" s="138"/>
      <c r="I43" s="138"/>
      <c r="J43" s="138"/>
      <c r="K43" s="138"/>
      <c r="L43" s="138"/>
      <c r="M43" s="138"/>
      <c r="N43" s="138"/>
      <c r="O43" s="138"/>
      <c r="P43" s="138"/>
      <c r="Q43" s="138"/>
      <c r="R43" s="138"/>
      <c r="S43" s="138"/>
      <c r="T43" s="139"/>
      <c r="U43" s="131" t="s">
        <v>64</v>
      </c>
      <c r="V43" s="132"/>
      <c r="W43" s="132"/>
      <c r="X43" s="132"/>
      <c r="Y43" s="133"/>
      <c r="Z43" s="131" t="s">
        <v>319</v>
      </c>
      <c r="AA43" s="132"/>
      <c r="AB43" s="133"/>
      <c r="AC43" s="48" t="s">
        <v>121</v>
      </c>
      <c r="AD43" s="53"/>
      <c r="AE43" s="53"/>
      <c r="AF43" s="53"/>
      <c r="AG43" s="53"/>
      <c r="AH43" s="53"/>
      <c r="AI43" s="53"/>
      <c r="AJ43" s="53"/>
      <c r="AK43" s="53"/>
      <c r="AL43" s="53"/>
      <c r="AM43" s="53"/>
      <c r="AN43" s="53"/>
      <c r="AO43" s="53"/>
      <c r="AP43" s="53"/>
      <c r="AQ43" s="53"/>
      <c r="AR43" s="53"/>
      <c r="AS43" s="53"/>
      <c r="AT43" s="53"/>
      <c r="AU43" s="53"/>
      <c r="AV43" s="53"/>
      <c r="AW43" s="53"/>
      <c r="AX43" s="53"/>
      <c r="AY43" s="53"/>
      <c r="AZ43" s="53"/>
      <c r="BA43" s="53"/>
      <c r="BB43" s="53"/>
      <c r="BC43" s="53"/>
      <c r="BD43" s="53"/>
      <c r="BE43" s="53"/>
      <c r="BF43" s="53"/>
      <c r="BG43" s="53"/>
      <c r="BH43" s="53"/>
      <c r="BI43" s="53"/>
      <c r="BJ43" s="54"/>
    </row>
    <row r="44" spans="1:62" s="47" customFormat="1" ht="56.4" customHeight="1">
      <c r="A44" s="130">
        <v>35</v>
      </c>
      <c r="B44" s="130"/>
      <c r="C44" s="130"/>
      <c r="D44" s="137" t="s">
        <v>177</v>
      </c>
      <c r="E44" s="138"/>
      <c r="F44" s="138"/>
      <c r="G44" s="138"/>
      <c r="H44" s="138"/>
      <c r="I44" s="138"/>
      <c r="J44" s="138"/>
      <c r="K44" s="138"/>
      <c r="L44" s="138"/>
      <c r="M44" s="138"/>
      <c r="N44" s="138"/>
      <c r="O44" s="138"/>
      <c r="P44" s="138"/>
      <c r="Q44" s="138"/>
      <c r="R44" s="138"/>
      <c r="S44" s="138"/>
      <c r="T44" s="139"/>
      <c r="U44" s="131" t="s">
        <v>64</v>
      </c>
      <c r="V44" s="132"/>
      <c r="W44" s="132"/>
      <c r="X44" s="132"/>
      <c r="Y44" s="133"/>
      <c r="Z44" s="131">
        <v>14</v>
      </c>
      <c r="AA44" s="132"/>
      <c r="AB44" s="133"/>
      <c r="AC44" s="48" t="s">
        <v>122</v>
      </c>
      <c r="AD44" s="53"/>
      <c r="AE44" s="53"/>
      <c r="AF44" s="53"/>
      <c r="AG44" s="53"/>
      <c r="AH44" s="53"/>
      <c r="AI44" s="53"/>
      <c r="AJ44" s="53"/>
      <c r="AK44" s="53"/>
      <c r="AL44" s="53"/>
      <c r="AM44" s="53"/>
      <c r="AN44" s="53"/>
      <c r="AO44" s="53"/>
      <c r="AP44" s="53"/>
      <c r="AQ44" s="53"/>
      <c r="AR44" s="53"/>
      <c r="AS44" s="53"/>
      <c r="AT44" s="53"/>
      <c r="AU44" s="53"/>
      <c r="AV44" s="53"/>
      <c r="AW44" s="53"/>
      <c r="AX44" s="53"/>
      <c r="AY44" s="53"/>
      <c r="AZ44" s="53"/>
      <c r="BA44" s="53"/>
      <c r="BB44" s="53"/>
      <c r="BC44" s="53"/>
      <c r="BD44" s="53"/>
      <c r="BE44" s="53"/>
      <c r="BF44" s="53"/>
      <c r="BG44" s="53"/>
      <c r="BH44" s="53"/>
      <c r="BI44" s="53"/>
      <c r="BJ44" s="54"/>
    </row>
    <row r="45" spans="1:62" s="47" customFormat="1" ht="40.5" customHeight="1">
      <c r="A45" s="130">
        <v>36</v>
      </c>
      <c r="B45" s="130"/>
      <c r="C45" s="130"/>
      <c r="D45" s="137" t="s">
        <v>178</v>
      </c>
      <c r="E45" s="138"/>
      <c r="F45" s="138"/>
      <c r="G45" s="138"/>
      <c r="H45" s="138"/>
      <c r="I45" s="138"/>
      <c r="J45" s="138"/>
      <c r="K45" s="138"/>
      <c r="L45" s="138"/>
      <c r="M45" s="138"/>
      <c r="N45" s="138"/>
      <c r="O45" s="138"/>
      <c r="P45" s="138"/>
      <c r="Q45" s="138"/>
      <c r="R45" s="138"/>
      <c r="S45" s="138"/>
      <c r="T45" s="139"/>
      <c r="U45" s="131" t="s">
        <v>64</v>
      </c>
      <c r="V45" s="132"/>
      <c r="W45" s="132"/>
      <c r="X45" s="132"/>
      <c r="Y45" s="133"/>
      <c r="Z45" s="131" t="s">
        <v>319</v>
      </c>
      <c r="AA45" s="132"/>
      <c r="AB45" s="133"/>
      <c r="AC45" s="48" t="s">
        <v>123</v>
      </c>
      <c r="AD45" s="53"/>
      <c r="AE45" s="53"/>
      <c r="AF45" s="53"/>
      <c r="AG45" s="53"/>
      <c r="AH45" s="53"/>
      <c r="AI45" s="53"/>
      <c r="AJ45" s="53"/>
      <c r="AK45" s="53"/>
      <c r="AL45" s="53"/>
      <c r="AM45" s="53"/>
      <c r="AN45" s="53"/>
      <c r="AO45" s="53"/>
      <c r="AP45" s="53"/>
      <c r="AQ45" s="53"/>
      <c r="AR45" s="53"/>
      <c r="AS45" s="53"/>
      <c r="AT45" s="53"/>
      <c r="AU45" s="53"/>
      <c r="AV45" s="53"/>
      <c r="AW45" s="53"/>
      <c r="AX45" s="53"/>
      <c r="AY45" s="53"/>
      <c r="AZ45" s="53"/>
      <c r="BA45" s="53"/>
      <c r="BB45" s="53"/>
      <c r="BC45" s="53"/>
      <c r="BD45" s="53"/>
      <c r="BE45" s="53"/>
      <c r="BF45" s="53"/>
      <c r="BG45" s="53"/>
      <c r="BH45" s="53"/>
      <c r="BI45" s="53"/>
      <c r="BJ45" s="54"/>
    </row>
    <row r="46" spans="1:62" s="47" customFormat="1" ht="40.5" customHeight="1">
      <c r="A46" s="130">
        <v>37</v>
      </c>
      <c r="B46" s="130"/>
      <c r="C46" s="130"/>
      <c r="D46" s="137" t="s">
        <v>105</v>
      </c>
      <c r="E46" s="138"/>
      <c r="F46" s="138"/>
      <c r="G46" s="138"/>
      <c r="H46" s="138"/>
      <c r="I46" s="138"/>
      <c r="J46" s="138"/>
      <c r="K46" s="138"/>
      <c r="L46" s="138"/>
      <c r="M46" s="138"/>
      <c r="N46" s="138"/>
      <c r="O46" s="138"/>
      <c r="P46" s="138"/>
      <c r="Q46" s="138"/>
      <c r="R46" s="138"/>
      <c r="S46" s="138"/>
      <c r="T46" s="139"/>
      <c r="U46" s="131" t="s">
        <v>64</v>
      </c>
      <c r="V46" s="132"/>
      <c r="W46" s="132"/>
      <c r="X46" s="132"/>
      <c r="Y46" s="133"/>
      <c r="Z46" s="131" t="s">
        <v>319</v>
      </c>
      <c r="AA46" s="132"/>
      <c r="AB46" s="133"/>
      <c r="AC46" s="48" t="s">
        <v>124</v>
      </c>
      <c r="AD46" s="53"/>
      <c r="AE46" s="53"/>
      <c r="AF46" s="53"/>
      <c r="AG46" s="53"/>
      <c r="AH46" s="53"/>
      <c r="AI46" s="53"/>
      <c r="AJ46" s="53"/>
      <c r="AK46" s="53"/>
      <c r="AL46" s="53"/>
      <c r="AM46" s="53"/>
      <c r="AN46" s="53"/>
      <c r="AO46" s="53"/>
      <c r="AP46" s="53"/>
      <c r="AQ46" s="53"/>
      <c r="AR46" s="53"/>
      <c r="AS46" s="53"/>
      <c r="AT46" s="53"/>
      <c r="AU46" s="53"/>
      <c r="AV46" s="53"/>
      <c r="AW46" s="53"/>
      <c r="AX46" s="53"/>
      <c r="AY46" s="53"/>
      <c r="AZ46" s="53"/>
      <c r="BA46" s="53"/>
      <c r="BB46" s="53"/>
      <c r="BC46" s="53"/>
      <c r="BD46" s="53"/>
      <c r="BE46" s="53"/>
      <c r="BF46" s="53"/>
      <c r="BG46" s="53"/>
      <c r="BH46" s="53"/>
      <c r="BI46" s="53"/>
      <c r="BJ46" s="54"/>
    </row>
    <row r="47" spans="1:62" s="47" customFormat="1" ht="40.5" customHeight="1">
      <c r="A47" s="130"/>
      <c r="B47" s="130"/>
      <c r="C47" s="130"/>
      <c r="D47" s="78"/>
      <c r="E47" s="79"/>
      <c r="F47" s="79"/>
      <c r="G47" s="79"/>
      <c r="H47" s="79"/>
      <c r="I47" s="79"/>
      <c r="J47" s="79"/>
      <c r="K47" s="79"/>
      <c r="L47" s="79"/>
      <c r="M47" s="79"/>
      <c r="N47" s="79"/>
      <c r="O47" s="79"/>
      <c r="P47" s="79"/>
      <c r="Q47" s="79"/>
      <c r="R47" s="79"/>
      <c r="S47" s="91"/>
      <c r="T47" s="92"/>
      <c r="U47" s="131"/>
      <c r="V47" s="132"/>
      <c r="W47" s="132"/>
      <c r="X47" s="132"/>
      <c r="Y47" s="133"/>
      <c r="Z47" s="131"/>
      <c r="AA47" s="132"/>
      <c r="AB47" s="133"/>
      <c r="AC47" s="52"/>
      <c r="AD47" s="53"/>
      <c r="AE47" s="53"/>
      <c r="AF47" s="53"/>
      <c r="AG47" s="53"/>
      <c r="AH47" s="53"/>
      <c r="AI47" s="53"/>
      <c r="AJ47" s="53"/>
      <c r="AK47" s="53"/>
      <c r="AL47" s="53"/>
      <c r="AM47" s="53"/>
      <c r="AN47" s="53"/>
      <c r="AO47" s="53"/>
      <c r="AP47" s="53"/>
      <c r="AQ47" s="53"/>
      <c r="AR47" s="53"/>
      <c r="AS47" s="53"/>
      <c r="AT47" s="53"/>
      <c r="AU47" s="53"/>
      <c r="AV47" s="53"/>
      <c r="AW47" s="53"/>
      <c r="AX47" s="53"/>
      <c r="AY47" s="53"/>
      <c r="AZ47" s="53"/>
      <c r="BA47" s="53"/>
      <c r="BB47" s="53"/>
      <c r="BC47" s="53"/>
      <c r="BD47" s="53"/>
      <c r="BE47" s="53"/>
      <c r="BF47" s="53"/>
      <c r="BG47" s="53"/>
      <c r="BH47" s="53"/>
      <c r="BI47" s="53"/>
      <c r="BJ47" s="54"/>
    </row>
    <row r="48" spans="1:62" s="47" customFormat="1" ht="40.5" customHeight="1">
      <c r="A48" s="130"/>
      <c r="B48" s="130"/>
      <c r="C48" s="130"/>
      <c r="D48" s="78"/>
      <c r="E48" s="79"/>
      <c r="F48" s="79"/>
      <c r="G48" s="79"/>
      <c r="H48" s="79"/>
      <c r="I48" s="79"/>
      <c r="J48" s="79"/>
      <c r="K48" s="79"/>
      <c r="L48" s="79"/>
      <c r="M48" s="79"/>
      <c r="N48" s="79"/>
      <c r="O48" s="79"/>
      <c r="P48" s="79"/>
      <c r="Q48" s="79"/>
      <c r="R48" s="79"/>
      <c r="S48" s="91"/>
      <c r="T48" s="92"/>
      <c r="U48" s="131"/>
      <c r="V48" s="132"/>
      <c r="W48" s="132"/>
      <c r="X48" s="132"/>
      <c r="Y48" s="133"/>
      <c r="Z48" s="131"/>
      <c r="AA48" s="132"/>
      <c r="AB48" s="133"/>
      <c r="AC48" s="52"/>
      <c r="AD48" s="53"/>
      <c r="AE48" s="53"/>
      <c r="AF48" s="53"/>
      <c r="AG48" s="53"/>
      <c r="AH48" s="53"/>
      <c r="AI48" s="53"/>
      <c r="AJ48" s="53"/>
      <c r="AK48" s="53"/>
      <c r="AL48" s="53"/>
      <c r="AM48" s="53"/>
      <c r="AN48" s="53"/>
      <c r="AO48" s="53"/>
      <c r="AP48" s="53"/>
      <c r="AQ48" s="53"/>
      <c r="AR48" s="53"/>
      <c r="AS48" s="53"/>
      <c r="AT48" s="53"/>
      <c r="AU48" s="53"/>
      <c r="AV48" s="53"/>
      <c r="AW48" s="53"/>
      <c r="AX48" s="53"/>
      <c r="AY48" s="53"/>
      <c r="AZ48" s="53"/>
      <c r="BA48" s="53"/>
      <c r="BB48" s="53"/>
      <c r="BC48" s="53"/>
      <c r="BD48" s="53"/>
      <c r="BE48" s="53"/>
      <c r="BF48" s="53"/>
      <c r="BG48" s="53"/>
      <c r="BH48" s="53"/>
      <c r="BI48" s="53"/>
      <c r="BJ48" s="54"/>
    </row>
    <row r="49" spans="1:62" s="47" customFormat="1" ht="40.5" customHeight="1">
      <c r="A49" s="130"/>
      <c r="B49" s="130"/>
      <c r="C49" s="130"/>
      <c r="D49" s="78"/>
      <c r="E49" s="79"/>
      <c r="F49" s="79"/>
      <c r="G49" s="79"/>
      <c r="H49" s="79"/>
      <c r="I49" s="79"/>
      <c r="J49" s="79"/>
      <c r="K49" s="79"/>
      <c r="L49" s="79"/>
      <c r="M49" s="79"/>
      <c r="N49" s="79"/>
      <c r="O49" s="79"/>
      <c r="P49" s="79"/>
      <c r="Q49" s="79"/>
      <c r="R49" s="79"/>
      <c r="S49" s="91"/>
      <c r="T49" s="92"/>
      <c r="U49" s="131"/>
      <c r="V49" s="132"/>
      <c r="W49" s="132"/>
      <c r="X49" s="132"/>
      <c r="Y49" s="133"/>
      <c r="Z49" s="131"/>
      <c r="AA49" s="132"/>
      <c r="AB49" s="133"/>
      <c r="AC49" s="52"/>
      <c r="AD49" s="53"/>
      <c r="AE49" s="53"/>
      <c r="AF49" s="53"/>
      <c r="AG49" s="53"/>
      <c r="AH49" s="53"/>
      <c r="AI49" s="53"/>
      <c r="AJ49" s="53"/>
      <c r="AK49" s="53"/>
      <c r="AL49" s="53"/>
      <c r="AM49" s="53"/>
      <c r="AN49" s="53"/>
      <c r="AO49" s="53"/>
      <c r="AP49" s="53"/>
      <c r="AQ49" s="53"/>
      <c r="AR49" s="53"/>
      <c r="AS49" s="53"/>
      <c r="AT49" s="53"/>
      <c r="AU49" s="53"/>
      <c r="AV49" s="53"/>
      <c r="AW49" s="53"/>
      <c r="AX49" s="53"/>
      <c r="AY49" s="53"/>
      <c r="AZ49" s="53"/>
      <c r="BA49" s="53"/>
      <c r="BB49" s="53"/>
      <c r="BC49" s="53"/>
      <c r="BD49" s="53"/>
      <c r="BE49" s="53"/>
      <c r="BF49" s="53"/>
      <c r="BG49" s="53"/>
      <c r="BH49" s="53"/>
      <c r="BI49" s="53"/>
      <c r="BJ49" s="54"/>
    </row>
    <row r="50" spans="1:62" s="47" customFormat="1" ht="40.5" customHeight="1">
      <c r="A50" s="130"/>
      <c r="B50" s="130"/>
      <c r="C50" s="130"/>
      <c r="D50" s="78"/>
      <c r="E50" s="79"/>
      <c r="F50" s="79"/>
      <c r="G50" s="79"/>
      <c r="H50" s="79"/>
      <c r="I50" s="79"/>
      <c r="J50" s="79"/>
      <c r="K50" s="79"/>
      <c r="L50" s="79"/>
      <c r="M50" s="79"/>
      <c r="N50" s="79"/>
      <c r="O50" s="79"/>
      <c r="P50" s="79"/>
      <c r="Q50" s="79"/>
      <c r="R50" s="79"/>
      <c r="S50" s="91"/>
      <c r="T50" s="92"/>
      <c r="U50" s="131"/>
      <c r="V50" s="132"/>
      <c r="W50" s="132"/>
      <c r="X50" s="132"/>
      <c r="Y50" s="133"/>
      <c r="Z50" s="131"/>
      <c r="AA50" s="132"/>
      <c r="AB50" s="133"/>
      <c r="AC50" s="52"/>
      <c r="AD50" s="53"/>
      <c r="AE50" s="53"/>
      <c r="AF50" s="53"/>
      <c r="AG50" s="53"/>
      <c r="AH50" s="53"/>
      <c r="AI50" s="53"/>
      <c r="AJ50" s="53"/>
      <c r="AK50" s="53"/>
      <c r="AL50" s="53"/>
      <c r="AM50" s="53"/>
      <c r="AN50" s="53"/>
      <c r="AO50" s="53"/>
      <c r="AP50" s="53"/>
      <c r="AQ50" s="53"/>
      <c r="AR50" s="53"/>
      <c r="AS50" s="53"/>
      <c r="AT50" s="53"/>
      <c r="AU50" s="53"/>
      <c r="AV50" s="53"/>
      <c r="AW50" s="53"/>
      <c r="AX50" s="53"/>
      <c r="AY50" s="53"/>
      <c r="AZ50" s="53"/>
      <c r="BA50" s="53"/>
      <c r="BB50" s="53"/>
      <c r="BC50" s="53"/>
      <c r="BD50" s="53"/>
      <c r="BE50" s="53"/>
      <c r="BF50" s="53"/>
      <c r="BG50" s="53"/>
      <c r="BH50" s="53"/>
      <c r="BI50" s="53"/>
      <c r="BJ50" s="54"/>
    </row>
    <row r="51" spans="1:62" s="47" customFormat="1" ht="40.5" customHeight="1">
      <c r="A51" s="130"/>
      <c r="B51" s="130"/>
      <c r="C51" s="130"/>
      <c r="D51" s="78"/>
      <c r="E51" s="79"/>
      <c r="F51" s="79"/>
      <c r="G51" s="79"/>
      <c r="H51" s="79"/>
      <c r="I51" s="79"/>
      <c r="J51" s="79"/>
      <c r="K51" s="79"/>
      <c r="L51" s="79"/>
      <c r="M51" s="79"/>
      <c r="N51" s="79"/>
      <c r="O51" s="79"/>
      <c r="P51" s="79"/>
      <c r="Q51" s="79"/>
      <c r="R51" s="79"/>
      <c r="S51" s="91"/>
      <c r="T51" s="92"/>
      <c r="U51" s="131"/>
      <c r="V51" s="132"/>
      <c r="W51" s="132"/>
      <c r="X51" s="132"/>
      <c r="Y51" s="133"/>
      <c r="Z51" s="131"/>
      <c r="AA51" s="132"/>
      <c r="AB51" s="133"/>
      <c r="AC51" s="52"/>
      <c r="AD51" s="53"/>
      <c r="AE51" s="53"/>
      <c r="AF51" s="53"/>
      <c r="AG51" s="53"/>
      <c r="AH51" s="53"/>
      <c r="AI51" s="53"/>
      <c r="AJ51" s="53"/>
      <c r="AK51" s="53"/>
      <c r="AL51" s="53"/>
      <c r="AM51" s="53"/>
      <c r="AN51" s="53"/>
      <c r="AO51" s="53"/>
      <c r="AP51" s="53"/>
      <c r="AQ51" s="53"/>
      <c r="AR51" s="53"/>
      <c r="AS51" s="53"/>
      <c r="AT51" s="53"/>
      <c r="AU51" s="53"/>
      <c r="AV51" s="53"/>
      <c r="AW51" s="53"/>
      <c r="AX51" s="53"/>
      <c r="AY51" s="53"/>
      <c r="AZ51" s="53"/>
      <c r="BA51" s="53"/>
      <c r="BB51" s="53"/>
      <c r="BC51" s="53"/>
      <c r="BD51" s="53"/>
      <c r="BE51" s="53"/>
      <c r="BF51" s="53"/>
      <c r="BG51" s="53"/>
      <c r="BH51" s="53"/>
      <c r="BI51" s="53"/>
      <c r="BJ51" s="54"/>
    </row>
    <row r="52" spans="1:62" s="47" customFormat="1" ht="40.5" customHeight="1">
      <c r="A52" s="174"/>
      <c r="B52" s="174"/>
      <c r="C52" s="174"/>
      <c r="D52" s="84"/>
      <c r="E52" s="85"/>
      <c r="F52" s="85"/>
      <c r="G52" s="85"/>
      <c r="H52" s="85"/>
      <c r="I52" s="85"/>
      <c r="J52" s="85"/>
      <c r="K52" s="85"/>
      <c r="L52" s="85"/>
      <c r="M52" s="85"/>
      <c r="N52" s="85"/>
      <c r="O52" s="85"/>
      <c r="P52" s="85"/>
      <c r="Q52" s="85"/>
      <c r="R52" s="85"/>
      <c r="S52" s="86"/>
      <c r="T52" s="87"/>
      <c r="U52" s="175"/>
      <c r="V52" s="176"/>
      <c r="W52" s="176"/>
      <c r="X52" s="176"/>
      <c r="Y52" s="177"/>
      <c r="Z52" s="175"/>
      <c r="AA52" s="176"/>
      <c r="AB52" s="177"/>
      <c r="AC52" s="88"/>
      <c r="AD52" s="89"/>
      <c r="AE52" s="89"/>
      <c r="AF52" s="89"/>
      <c r="AG52" s="89"/>
      <c r="AH52" s="89"/>
      <c r="AI52" s="89"/>
      <c r="AJ52" s="89"/>
      <c r="AK52" s="89"/>
      <c r="AL52" s="89"/>
      <c r="AM52" s="89"/>
      <c r="AN52" s="89"/>
      <c r="AO52" s="89"/>
      <c r="AP52" s="89"/>
      <c r="AQ52" s="89"/>
      <c r="AR52" s="89"/>
      <c r="AS52" s="89"/>
      <c r="AT52" s="89"/>
      <c r="AU52" s="89"/>
      <c r="AV52" s="89"/>
      <c r="AW52" s="89"/>
      <c r="AX52" s="89"/>
      <c r="AY52" s="89"/>
      <c r="AZ52" s="89"/>
      <c r="BA52" s="89"/>
      <c r="BB52" s="89"/>
      <c r="BC52" s="89"/>
      <c r="BD52" s="89"/>
      <c r="BE52" s="89"/>
      <c r="BF52" s="89"/>
      <c r="BG52" s="89"/>
      <c r="BH52" s="89"/>
      <c r="BI52" s="89"/>
      <c r="BJ52" s="90"/>
    </row>
    <row r="53" spans="1:62" ht="6.6" customHeight="1"/>
  </sheetData>
  <mergeCells count="197">
    <mergeCell ref="A21:C21"/>
    <mergeCell ref="D21:T21"/>
    <mergeCell ref="U21:Y21"/>
    <mergeCell ref="Z21:AB21"/>
    <mergeCell ref="A22:C22"/>
    <mergeCell ref="D22:T22"/>
    <mergeCell ref="U22:Y22"/>
    <mergeCell ref="Z22:AB22"/>
    <mergeCell ref="A30:C30"/>
    <mergeCell ref="U30:Y30"/>
    <mergeCell ref="Z30:AB30"/>
    <mergeCell ref="A28:C28"/>
    <mergeCell ref="U28:Y28"/>
    <mergeCell ref="A27:C27"/>
    <mergeCell ref="U27:Y27"/>
    <mergeCell ref="Z27:AB27"/>
    <mergeCell ref="Z28:AB28"/>
    <mergeCell ref="D27:T27"/>
    <mergeCell ref="U23:Y23"/>
    <mergeCell ref="Z23:AB23"/>
    <mergeCell ref="Z24:AB24"/>
    <mergeCell ref="Z45:AB45"/>
    <mergeCell ref="D44:T44"/>
    <mergeCell ref="D45:T45"/>
    <mergeCell ref="D46:T46"/>
    <mergeCell ref="A42:C42"/>
    <mergeCell ref="U42:Y42"/>
    <mergeCell ref="Z42:AB42"/>
    <mergeCell ref="A43:C43"/>
    <mergeCell ref="A52:C52"/>
    <mergeCell ref="U52:Y52"/>
    <mergeCell ref="Z52:AB52"/>
    <mergeCell ref="A46:C46"/>
    <mergeCell ref="U46:Y46"/>
    <mergeCell ref="Z46:AB46"/>
    <mergeCell ref="A44:C44"/>
    <mergeCell ref="U44:Y44"/>
    <mergeCell ref="Z44:AB44"/>
    <mergeCell ref="A45:C45"/>
    <mergeCell ref="U45:Y45"/>
    <mergeCell ref="U43:Y43"/>
    <mergeCell ref="Z43:AB43"/>
    <mergeCell ref="D43:T43"/>
    <mergeCell ref="A51:C51"/>
    <mergeCell ref="U51:Y51"/>
    <mergeCell ref="A40:C40"/>
    <mergeCell ref="U40:Y40"/>
    <mergeCell ref="Z40:AB40"/>
    <mergeCell ref="A41:C41"/>
    <mergeCell ref="U41:Y41"/>
    <mergeCell ref="Z41:AB41"/>
    <mergeCell ref="D40:T40"/>
    <mergeCell ref="D41:T41"/>
    <mergeCell ref="D42:T42"/>
    <mergeCell ref="A38:C38"/>
    <mergeCell ref="U38:Y38"/>
    <mergeCell ref="Z38:AB38"/>
    <mergeCell ref="A39:C39"/>
    <mergeCell ref="U39:Y39"/>
    <mergeCell ref="Z39:AB39"/>
    <mergeCell ref="A36:C36"/>
    <mergeCell ref="U36:Y36"/>
    <mergeCell ref="Z36:AB36"/>
    <mergeCell ref="A37:C37"/>
    <mergeCell ref="U37:Y37"/>
    <mergeCell ref="Z37:AB37"/>
    <mergeCell ref="D36:T36"/>
    <mergeCell ref="D37:T37"/>
    <mergeCell ref="D38:T38"/>
    <mergeCell ref="D39:T39"/>
    <mergeCell ref="A34:C34"/>
    <mergeCell ref="U34:Y34"/>
    <mergeCell ref="Z34:AB34"/>
    <mergeCell ref="A35:C35"/>
    <mergeCell ref="U35:Y35"/>
    <mergeCell ref="Z35:AB35"/>
    <mergeCell ref="D34:T34"/>
    <mergeCell ref="D35:T35"/>
    <mergeCell ref="A32:C32"/>
    <mergeCell ref="D32:T32"/>
    <mergeCell ref="U32:Y32"/>
    <mergeCell ref="Z32:AB32"/>
    <mergeCell ref="A33:C33"/>
    <mergeCell ref="D33:T33"/>
    <mergeCell ref="U33:Y33"/>
    <mergeCell ref="Z33:AB33"/>
    <mergeCell ref="A7:K7"/>
    <mergeCell ref="Z13:AB13"/>
    <mergeCell ref="A12:C12"/>
    <mergeCell ref="D12:T12"/>
    <mergeCell ref="U12:Y12"/>
    <mergeCell ref="Z12:AB12"/>
    <mergeCell ref="D10:T10"/>
    <mergeCell ref="D11:T11"/>
    <mergeCell ref="A17:C17"/>
    <mergeCell ref="U17:Y17"/>
    <mergeCell ref="Z17:AB17"/>
    <mergeCell ref="U14:Y14"/>
    <mergeCell ref="Z14:AB14"/>
    <mergeCell ref="A15:C15"/>
    <mergeCell ref="U15:Y15"/>
    <mergeCell ref="Z15:AB15"/>
    <mergeCell ref="D14:T14"/>
    <mergeCell ref="D15:T15"/>
    <mergeCell ref="D16:T16"/>
    <mergeCell ref="D17:T17"/>
    <mergeCell ref="BI7:BJ7"/>
    <mergeCell ref="L7:AJ7"/>
    <mergeCell ref="AK7:AR7"/>
    <mergeCell ref="AS7:AX7"/>
    <mergeCell ref="BC7:BD7"/>
    <mergeCell ref="BE7:BH7"/>
    <mergeCell ref="A16:C16"/>
    <mergeCell ref="U16:Y16"/>
    <mergeCell ref="Z16:AB16"/>
    <mergeCell ref="A11:C11"/>
    <mergeCell ref="U11:Y11"/>
    <mergeCell ref="Z11:AB11"/>
    <mergeCell ref="A9:C9"/>
    <mergeCell ref="D9:T9"/>
    <mergeCell ref="U9:Y9"/>
    <mergeCell ref="Z9:AB9"/>
    <mergeCell ref="A10:C10"/>
    <mergeCell ref="U10:Y10"/>
    <mergeCell ref="Z10:AB10"/>
    <mergeCell ref="A14:C14"/>
    <mergeCell ref="AC9:BJ9"/>
    <mergeCell ref="A13:C13"/>
    <mergeCell ref="D13:T13"/>
    <mergeCell ref="U13:Y13"/>
    <mergeCell ref="BG2:BJ2"/>
    <mergeCell ref="A3:H4"/>
    <mergeCell ref="I3:AS4"/>
    <mergeCell ref="AT3:AX3"/>
    <mergeCell ref="AY3:BJ3"/>
    <mergeCell ref="AT4:AX4"/>
    <mergeCell ref="AY4:BJ4"/>
    <mergeCell ref="AX6:BA6"/>
    <mergeCell ref="BB6:BE6"/>
    <mergeCell ref="BF6:BJ6"/>
    <mergeCell ref="A6:K6"/>
    <mergeCell ref="L6:AA6"/>
    <mergeCell ref="AB6:AJ6"/>
    <mergeCell ref="AK6:AN6"/>
    <mergeCell ref="AO6:AW6"/>
    <mergeCell ref="A2:AS2"/>
    <mergeCell ref="AT2:AX2"/>
    <mergeCell ref="AY2:BB2"/>
    <mergeCell ref="BC2:BF2"/>
    <mergeCell ref="Z51:AB51"/>
    <mergeCell ref="A50:C50"/>
    <mergeCell ref="U50:Y50"/>
    <mergeCell ref="Z50:AB50"/>
    <mergeCell ref="A20:C20"/>
    <mergeCell ref="U20:Y20"/>
    <mergeCell ref="Z20:AB20"/>
    <mergeCell ref="A18:C18"/>
    <mergeCell ref="U18:Y18"/>
    <mergeCell ref="Z18:AB18"/>
    <mergeCell ref="A19:C19"/>
    <mergeCell ref="U19:Y19"/>
    <mergeCell ref="Z19:AB19"/>
    <mergeCell ref="D20:T20"/>
    <mergeCell ref="D18:T18"/>
    <mergeCell ref="D19:T19"/>
    <mergeCell ref="A23:C23"/>
    <mergeCell ref="D23:T23"/>
    <mergeCell ref="A24:C24"/>
    <mergeCell ref="D24:T24"/>
    <mergeCell ref="A49:C49"/>
    <mergeCell ref="U49:Y49"/>
    <mergeCell ref="Z49:AB49"/>
    <mergeCell ref="U24:Y24"/>
    <mergeCell ref="A47:C47"/>
    <mergeCell ref="U47:Y47"/>
    <mergeCell ref="Z47:AB47"/>
    <mergeCell ref="A48:C48"/>
    <mergeCell ref="U48:Y48"/>
    <mergeCell ref="Z48:AB48"/>
    <mergeCell ref="A25:C25"/>
    <mergeCell ref="D25:T25"/>
    <mergeCell ref="U25:Y25"/>
    <mergeCell ref="Z25:AB25"/>
    <mergeCell ref="A26:C26"/>
    <mergeCell ref="D26:T26"/>
    <mergeCell ref="U26:Y26"/>
    <mergeCell ref="Z26:AB26"/>
    <mergeCell ref="A29:C29"/>
    <mergeCell ref="U29:Y29"/>
    <mergeCell ref="Z29:AB29"/>
    <mergeCell ref="D28:T28"/>
    <mergeCell ref="D29:T29"/>
    <mergeCell ref="D30:T30"/>
    <mergeCell ref="D31:T31"/>
    <mergeCell ref="A31:C31"/>
    <mergeCell ref="U31:Y31"/>
    <mergeCell ref="Z31:AB31"/>
  </mergeCells>
  <phoneticPr fontId="1"/>
  <dataValidations count="3">
    <dataValidation type="list" allowBlank="1" showInputMessage="1" showErrorMessage="1" sqref="AK6 AX6" xr:uid="{1897CC13-C15F-4CDC-952A-DD0B42076CB8}">
      <formula1>"あり,なし"</formula1>
    </dataValidation>
    <dataValidation type="list" allowBlank="1" showInputMessage="1" showErrorMessage="1" sqref="BC7 BI7" xr:uid="{AA949195-4ACE-477D-8B66-AA8752980575}">
      <formula1>"〇"</formula1>
    </dataValidation>
    <dataValidation type="list" allowBlank="1" showInputMessage="1" sqref="AS7:AX7" xr:uid="{997E9AEA-96CE-46CD-A052-5F729FF24E54}">
      <formula1>"utf-8,Shift jis"</formula1>
    </dataValidation>
  </dataValidations>
  <pageMargins left="0.70866141732283472" right="0.35433070866141736" top="0.62992125984251968" bottom="0.39370078740157483" header="0.82677165354330717" footer="0.19685039370078741"/>
  <pageSetup paperSize="9" scale="71" fitToHeight="0" orientation="portrait" r:id="rId1"/>
  <headerFooter>
    <oddHeader xml:space="preserve">&amp;R&amp;P   </oddHeader>
  </headerFooter>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D18D2A-B878-4DBA-BE88-9026C5A148E7}">
  <sheetPr codeName="Sheet4">
    <pageSetUpPr fitToPage="1"/>
  </sheetPr>
  <dimension ref="A1:AQ100"/>
  <sheetViews>
    <sheetView view="pageBreakPreview" zoomScaleNormal="85" zoomScaleSheetLayoutView="100" workbookViewId="0"/>
  </sheetViews>
  <sheetFormatPr defaultColWidth="9" defaultRowHeight="13.2"/>
  <cols>
    <col min="1" max="2" width="11.33203125" style="56" customWidth="1"/>
    <col min="3" max="3" width="8.44140625" style="45" customWidth="1"/>
    <col min="4" max="4" width="14.44140625" style="45" bestFit="1" customWidth="1"/>
    <col min="5" max="5" width="8.44140625" style="45" customWidth="1"/>
    <col min="6" max="6" width="10.109375" style="56" customWidth="1"/>
    <col min="7" max="7" width="11.6640625" style="56" customWidth="1"/>
    <col min="8" max="8" width="10.21875" style="56" customWidth="1"/>
    <col min="9" max="9" width="17.6640625" style="45" customWidth="1"/>
    <col min="10" max="10" width="10.6640625" style="45" customWidth="1"/>
    <col min="11" max="11" width="15.6640625" style="45" customWidth="1"/>
    <col min="12" max="12" width="10.33203125" style="45" customWidth="1"/>
    <col min="13" max="13" width="13.109375" style="45" customWidth="1"/>
    <col min="14" max="14" width="10.33203125" style="45" customWidth="1"/>
    <col min="15" max="15" width="13.109375" style="45" customWidth="1"/>
    <col min="16" max="16" width="10.33203125" style="45" customWidth="1"/>
    <col min="17" max="17" width="13.109375" style="45" customWidth="1"/>
    <col min="18" max="18" width="10.33203125" style="45" customWidth="1"/>
    <col min="19" max="19" width="40.77734375" style="45" bestFit="1" customWidth="1"/>
    <col min="20" max="20" width="10.33203125" style="45" customWidth="1"/>
    <col min="21" max="22" width="13.109375" style="45" customWidth="1"/>
    <col min="23" max="23" width="13.44140625" style="45" customWidth="1"/>
    <col min="24" max="24" width="18.109375" style="45" customWidth="1"/>
    <col min="25" max="25" width="13.44140625" style="45" customWidth="1"/>
    <col min="26" max="26" width="18.109375" style="45" customWidth="1"/>
    <col min="27" max="27" width="16.109375" style="45" customWidth="1"/>
    <col min="28" max="28" width="16.109375" style="45" bestFit="1" customWidth="1"/>
    <col min="29" max="29" width="16.77734375" style="45" customWidth="1"/>
    <col min="30" max="30" width="14.88671875" style="45" customWidth="1"/>
    <col min="31" max="31" width="16.44140625" style="45" customWidth="1"/>
    <col min="32" max="32" width="16.109375" style="45" bestFit="1" customWidth="1"/>
    <col min="33" max="33" width="15.109375" style="45" customWidth="1"/>
    <col min="34" max="34" width="17.33203125" style="45" customWidth="1"/>
    <col min="35" max="35" width="14.109375" style="45" customWidth="1"/>
    <col min="36" max="36" width="10" style="45" customWidth="1"/>
    <col min="37" max="37" width="17.21875" style="45" customWidth="1"/>
    <col min="38" max="40" width="17.21875" style="56" customWidth="1"/>
    <col min="41" max="41" width="12.109375" style="56" bestFit="1" customWidth="1"/>
    <col min="42" max="42" width="11" style="56" bestFit="1" customWidth="1"/>
    <col min="43" max="43" width="8" style="45" bestFit="1" customWidth="1"/>
    <col min="44" max="44" width="13.44140625" style="56" bestFit="1" customWidth="1"/>
    <col min="45" max="52" width="6" style="56" bestFit="1" customWidth="1"/>
    <col min="53" max="53" width="7" style="56" bestFit="1" customWidth="1"/>
    <col min="54" max="54" width="6" style="56" bestFit="1" customWidth="1"/>
    <col min="55" max="55" width="7" style="56" bestFit="1" customWidth="1"/>
    <col min="56" max="56" width="6" style="56" bestFit="1" customWidth="1"/>
    <col min="57" max="16384" width="9" style="56"/>
  </cols>
  <sheetData>
    <row r="1" spans="1:37" ht="14.4">
      <c r="A1" s="55"/>
    </row>
    <row r="9" spans="1:37" ht="16.2">
      <c r="A9" s="49" t="s">
        <v>202</v>
      </c>
    </row>
    <row r="10" spans="1:37" s="58" customFormat="1" ht="33.75" customHeight="1">
      <c r="A10" s="35" t="s">
        <v>125</v>
      </c>
      <c r="B10" s="35" t="s">
        <v>126</v>
      </c>
      <c r="C10" s="36" t="s">
        <v>192</v>
      </c>
      <c r="D10" s="36" t="s">
        <v>193</v>
      </c>
      <c r="E10" s="36" t="s">
        <v>127</v>
      </c>
      <c r="F10" s="35" t="s">
        <v>53</v>
      </c>
      <c r="G10" s="35" t="s">
        <v>128</v>
      </c>
      <c r="H10" s="37" t="s">
        <v>129</v>
      </c>
      <c r="I10" s="37" t="s">
        <v>130</v>
      </c>
      <c r="J10" s="37" t="s">
        <v>131</v>
      </c>
      <c r="K10" s="37" t="s">
        <v>132</v>
      </c>
      <c r="L10" s="37" t="s">
        <v>166</v>
      </c>
      <c r="M10" s="37" t="s">
        <v>167</v>
      </c>
      <c r="N10" s="37" t="s">
        <v>270</v>
      </c>
      <c r="O10" s="37" t="s">
        <v>271</v>
      </c>
      <c r="P10" s="37" t="s">
        <v>285</v>
      </c>
      <c r="Q10" s="37" t="s">
        <v>291</v>
      </c>
      <c r="R10" s="37" t="s">
        <v>200</v>
      </c>
      <c r="S10" s="37" t="s">
        <v>201</v>
      </c>
      <c r="T10" s="37" t="s">
        <v>99</v>
      </c>
      <c r="U10" s="37" t="s">
        <v>101</v>
      </c>
      <c r="V10" s="37" t="s">
        <v>135</v>
      </c>
      <c r="W10" s="37" t="s">
        <v>136</v>
      </c>
      <c r="X10" s="37" t="s">
        <v>137</v>
      </c>
      <c r="Y10" s="37" t="s">
        <v>138</v>
      </c>
      <c r="Z10" s="37" t="s">
        <v>139</v>
      </c>
      <c r="AA10" s="37" t="s">
        <v>140</v>
      </c>
      <c r="AB10" s="37" t="s">
        <v>141</v>
      </c>
      <c r="AC10" s="37" t="s">
        <v>142</v>
      </c>
      <c r="AD10" s="37" t="s">
        <v>143</v>
      </c>
      <c r="AE10" s="37" t="s">
        <v>144</v>
      </c>
      <c r="AF10" s="37" t="s">
        <v>145</v>
      </c>
      <c r="AG10" s="37" t="s">
        <v>146</v>
      </c>
      <c r="AH10" s="37" t="s">
        <v>147</v>
      </c>
      <c r="AI10" s="57" t="s">
        <v>148</v>
      </c>
      <c r="AJ10" s="57" t="s">
        <v>149</v>
      </c>
      <c r="AK10" s="57" t="s">
        <v>104</v>
      </c>
    </row>
    <row r="11" spans="1:37" s="62" customFormat="1">
      <c r="A11" s="63">
        <v>202404</v>
      </c>
      <c r="B11" s="63" t="s">
        <v>297</v>
      </c>
      <c r="C11" s="64" t="s">
        <v>199</v>
      </c>
      <c r="D11" s="64" t="s">
        <v>191</v>
      </c>
      <c r="E11" s="64" t="s">
        <v>90</v>
      </c>
      <c r="F11" s="64"/>
      <c r="G11" s="64"/>
      <c r="H11" s="64"/>
      <c r="I11" s="64"/>
      <c r="J11" s="64"/>
      <c r="K11" s="64"/>
      <c r="L11" s="64"/>
      <c r="M11" s="64"/>
      <c r="N11" s="64"/>
      <c r="O11" s="64"/>
      <c r="P11" s="64"/>
      <c r="Q11" s="64"/>
      <c r="R11" s="64"/>
      <c r="S11" s="64"/>
      <c r="T11" s="64" t="s">
        <v>150</v>
      </c>
      <c r="U11" s="64" t="s">
        <v>151</v>
      </c>
      <c r="V11" s="64">
        <v>0</v>
      </c>
      <c r="W11" s="64">
        <v>940000</v>
      </c>
      <c r="X11" s="64" t="s">
        <v>91</v>
      </c>
      <c r="Y11" s="64">
        <v>1250000</v>
      </c>
      <c r="Z11" s="64">
        <v>1547635</v>
      </c>
      <c r="AA11" s="65">
        <f t="shared" ref="AA11:AA17" si="0">Z11/Y11*100</f>
        <v>123.8108</v>
      </c>
      <c r="AB11" s="64">
        <v>1541023</v>
      </c>
      <c r="AC11" s="65">
        <f t="shared" ref="AC11:AC17" si="1">Z11/AB11*100</f>
        <v>100.42906562718402</v>
      </c>
      <c r="AD11" s="64">
        <v>25000</v>
      </c>
      <c r="AE11" s="64">
        <v>45704</v>
      </c>
      <c r="AF11" s="64">
        <v>18310</v>
      </c>
      <c r="AG11" s="64">
        <v>64014</v>
      </c>
      <c r="AH11" s="65">
        <f t="shared" ref="AH11:AH17" si="2">AE11/AD11*100</f>
        <v>182.816</v>
      </c>
      <c r="AI11" s="64">
        <v>39837</v>
      </c>
      <c r="AJ11" s="65">
        <f t="shared" ref="AJ11:AJ17" si="3">AE11/AI11*100</f>
        <v>114.727514622085</v>
      </c>
      <c r="AK11" s="65">
        <f t="shared" ref="AK11:AK17" si="4">AE11/Z11*100</f>
        <v>2.9531510982886795</v>
      </c>
    </row>
    <row r="12" spans="1:37" s="62" customFormat="1">
      <c r="A12" s="60">
        <v>202404</v>
      </c>
      <c r="B12" s="60" t="s">
        <v>296</v>
      </c>
      <c r="C12" s="60" t="s">
        <v>199</v>
      </c>
      <c r="D12" s="60" t="s">
        <v>191</v>
      </c>
      <c r="E12" s="60" t="s">
        <v>90</v>
      </c>
      <c r="F12" s="60"/>
      <c r="G12" s="60"/>
      <c r="H12" s="60"/>
      <c r="I12" s="60"/>
      <c r="J12" s="60"/>
      <c r="K12" s="60"/>
      <c r="L12" s="60"/>
      <c r="M12" s="60"/>
      <c r="N12" s="60"/>
      <c r="O12" s="60"/>
      <c r="P12" s="60"/>
      <c r="Q12" s="60"/>
      <c r="R12" s="60"/>
      <c r="S12" s="60"/>
      <c r="T12" s="60" t="s">
        <v>152</v>
      </c>
      <c r="U12" s="60" t="s">
        <v>153</v>
      </c>
      <c r="V12" s="60">
        <v>0</v>
      </c>
      <c r="W12" s="60">
        <v>940000</v>
      </c>
      <c r="X12" s="60" t="s">
        <v>91</v>
      </c>
      <c r="Y12" s="60">
        <v>783000</v>
      </c>
      <c r="Z12" s="60">
        <v>832718</v>
      </c>
      <c r="AA12" s="61">
        <f t="shared" si="0"/>
        <v>106.34968071519795</v>
      </c>
      <c r="AB12" s="60">
        <v>836306</v>
      </c>
      <c r="AC12" s="61">
        <f t="shared" si="1"/>
        <v>99.570970434266883</v>
      </c>
      <c r="AD12" s="60">
        <v>41000</v>
      </c>
      <c r="AE12" s="60">
        <v>33360</v>
      </c>
      <c r="AF12" s="60">
        <v>10809</v>
      </c>
      <c r="AG12" s="60">
        <v>44169</v>
      </c>
      <c r="AH12" s="61">
        <f t="shared" si="2"/>
        <v>81.365853658536579</v>
      </c>
      <c r="AI12" s="60">
        <v>39748</v>
      </c>
      <c r="AJ12" s="61">
        <f t="shared" si="3"/>
        <v>83.928751132132433</v>
      </c>
      <c r="AK12" s="61">
        <f t="shared" si="4"/>
        <v>4.0061581471758752</v>
      </c>
    </row>
    <row r="13" spans="1:37" s="62" customFormat="1">
      <c r="A13" s="64">
        <v>202404</v>
      </c>
      <c r="B13" s="64" t="s">
        <v>296</v>
      </c>
      <c r="C13" s="64" t="s">
        <v>199</v>
      </c>
      <c r="D13" s="64" t="s">
        <v>191</v>
      </c>
      <c r="E13" s="64" t="s">
        <v>82</v>
      </c>
      <c r="F13" s="64"/>
      <c r="G13" s="64"/>
      <c r="H13" s="64"/>
      <c r="I13" s="64"/>
      <c r="J13" s="64"/>
      <c r="K13" s="64"/>
      <c r="L13" s="64"/>
      <c r="M13" s="64"/>
      <c r="N13" s="64"/>
      <c r="O13" s="64"/>
      <c r="P13" s="64"/>
      <c r="Q13" s="64"/>
      <c r="R13" s="64"/>
      <c r="S13" s="64"/>
      <c r="T13" s="64"/>
      <c r="U13" s="64"/>
      <c r="V13" s="64">
        <v>1</v>
      </c>
      <c r="W13" s="64"/>
      <c r="X13" s="64" t="s">
        <v>91</v>
      </c>
      <c r="Y13" s="64">
        <f>SUM(Y11:Y12)</f>
        <v>2033000</v>
      </c>
      <c r="Z13" s="64">
        <f>SUM(Z11:Z12)</f>
        <v>2380353</v>
      </c>
      <c r="AA13" s="65">
        <f t="shared" si="0"/>
        <v>117.08573536645352</v>
      </c>
      <c r="AB13" s="64">
        <f>SUM(AB11:AB12)</f>
        <v>2377329</v>
      </c>
      <c r="AC13" s="65">
        <f t="shared" si="1"/>
        <v>100.12720157790528</v>
      </c>
      <c r="AD13" s="64">
        <f>SUM(AD11:AD12)</f>
        <v>66000</v>
      </c>
      <c r="AE13" s="64">
        <f t="shared" ref="AE13:AI13" si="5">SUM(AE11:AE12)</f>
        <v>79064</v>
      </c>
      <c r="AF13" s="64">
        <f t="shared" si="5"/>
        <v>29119</v>
      </c>
      <c r="AG13" s="64">
        <f t="shared" si="5"/>
        <v>108183</v>
      </c>
      <c r="AH13" s="65">
        <f t="shared" si="2"/>
        <v>119.79393939393938</v>
      </c>
      <c r="AI13" s="64">
        <f t="shared" si="5"/>
        <v>79585</v>
      </c>
      <c r="AJ13" s="65">
        <f t="shared" si="3"/>
        <v>99.345354023999505</v>
      </c>
      <c r="AK13" s="65">
        <f>AE13/Z13*100</f>
        <v>3.3215241604921628</v>
      </c>
    </row>
    <row r="14" spans="1:37" s="62" customFormat="1">
      <c r="A14" s="60">
        <v>202404</v>
      </c>
      <c r="B14" s="60" t="s">
        <v>296</v>
      </c>
      <c r="C14" s="60" t="s">
        <v>199</v>
      </c>
      <c r="D14" s="60" t="s">
        <v>191</v>
      </c>
      <c r="E14" s="60" t="s">
        <v>82</v>
      </c>
      <c r="F14" s="60"/>
      <c r="G14" s="60"/>
      <c r="H14" s="60"/>
      <c r="I14" s="60"/>
      <c r="J14" s="60"/>
      <c r="K14" s="60"/>
      <c r="L14" s="60"/>
      <c r="M14" s="60"/>
      <c r="N14" s="60"/>
      <c r="O14" s="60"/>
      <c r="P14" s="60"/>
      <c r="Q14" s="60"/>
      <c r="R14" s="60">
        <v>4496</v>
      </c>
      <c r="S14" s="60" t="s">
        <v>154</v>
      </c>
      <c r="T14" s="60"/>
      <c r="U14" s="60"/>
      <c r="V14" s="60">
        <v>0</v>
      </c>
      <c r="W14" s="60">
        <v>941000</v>
      </c>
      <c r="X14" s="60" t="s">
        <v>92</v>
      </c>
      <c r="Y14" s="60">
        <v>279463</v>
      </c>
      <c r="Z14" s="60">
        <v>268638</v>
      </c>
      <c r="AA14" s="61">
        <f t="shared" si="0"/>
        <v>96.126499751308756</v>
      </c>
      <c r="AB14" s="60">
        <v>267739</v>
      </c>
      <c r="AC14" s="61">
        <f t="shared" si="1"/>
        <v>100.33577476572333</v>
      </c>
      <c r="AD14" s="60">
        <v>30903</v>
      </c>
      <c r="AE14" s="60">
        <v>41792</v>
      </c>
      <c r="AF14" s="60">
        <v>226845</v>
      </c>
      <c r="AG14" s="60">
        <v>268637</v>
      </c>
      <c r="AH14" s="61">
        <f t="shared" si="2"/>
        <v>135.23606122382941</v>
      </c>
      <c r="AI14" s="60">
        <v>42243</v>
      </c>
      <c r="AJ14" s="61">
        <f t="shared" si="3"/>
        <v>98.932367492839049</v>
      </c>
      <c r="AK14" s="61">
        <f t="shared" si="4"/>
        <v>15.556994915090197</v>
      </c>
    </row>
    <row r="15" spans="1:37" s="62" customFormat="1">
      <c r="A15" s="64">
        <v>202404</v>
      </c>
      <c r="B15" s="64" t="s">
        <v>296</v>
      </c>
      <c r="C15" s="64" t="s">
        <v>199</v>
      </c>
      <c r="D15" s="64" t="s">
        <v>191</v>
      </c>
      <c r="E15" s="64" t="s">
        <v>82</v>
      </c>
      <c r="F15" s="64"/>
      <c r="G15" s="64"/>
      <c r="H15" s="64"/>
      <c r="I15" s="64"/>
      <c r="J15" s="64"/>
      <c r="K15" s="64"/>
      <c r="L15" s="64"/>
      <c r="M15" s="64"/>
      <c r="N15" s="64"/>
      <c r="O15" s="64"/>
      <c r="P15" s="64"/>
      <c r="Q15" s="64"/>
      <c r="R15" s="64">
        <v>5614</v>
      </c>
      <c r="S15" s="64" t="s">
        <v>155</v>
      </c>
      <c r="T15" s="64"/>
      <c r="U15" s="64"/>
      <c r="V15" s="64">
        <v>0</v>
      </c>
      <c r="W15" s="64">
        <v>941000</v>
      </c>
      <c r="X15" s="64" t="s">
        <v>92</v>
      </c>
      <c r="Y15" s="64">
        <v>61400</v>
      </c>
      <c r="Z15" s="64">
        <v>61671</v>
      </c>
      <c r="AA15" s="65">
        <f t="shared" si="0"/>
        <v>100.4413680781759</v>
      </c>
      <c r="AB15" s="64">
        <v>60698</v>
      </c>
      <c r="AC15" s="65">
        <f t="shared" si="1"/>
        <v>101.6030182213582</v>
      </c>
      <c r="AD15" s="64">
        <v>-35318</v>
      </c>
      <c r="AE15" s="64">
        <v>-34602</v>
      </c>
      <c r="AF15" s="64">
        <v>96273</v>
      </c>
      <c r="AG15" s="64">
        <v>61671</v>
      </c>
      <c r="AH15" s="65">
        <f t="shared" si="2"/>
        <v>97.97270513619118</v>
      </c>
      <c r="AI15" s="64">
        <v>-33196</v>
      </c>
      <c r="AJ15" s="65">
        <f t="shared" si="3"/>
        <v>104.23545005422341</v>
      </c>
      <c r="AK15" s="65">
        <f>AE15/Z15*100</f>
        <v>-56.107408668580049</v>
      </c>
    </row>
    <row r="16" spans="1:37" s="62" customFormat="1">
      <c r="A16" s="60">
        <v>202404</v>
      </c>
      <c r="B16" s="60" t="s">
        <v>296</v>
      </c>
      <c r="C16" s="60" t="s">
        <v>199</v>
      </c>
      <c r="D16" s="60" t="s">
        <v>191</v>
      </c>
      <c r="E16" s="60" t="s">
        <v>82</v>
      </c>
      <c r="F16" s="60"/>
      <c r="G16" s="60"/>
      <c r="H16" s="60"/>
      <c r="I16" s="60"/>
      <c r="J16" s="60"/>
      <c r="K16" s="60"/>
      <c r="L16" s="60"/>
      <c r="M16" s="60"/>
      <c r="N16" s="60"/>
      <c r="O16" s="60"/>
      <c r="P16" s="60"/>
      <c r="Q16" s="60"/>
      <c r="R16" s="60"/>
      <c r="S16" s="60"/>
      <c r="T16" s="60"/>
      <c r="U16" s="60"/>
      <c r="V16" s="60">
        <v>1</v>
      </c>
      <c r="W16" s="60"/>
      <c r="X16" s="60" t="s">
        <v>92</v>
      </c>
      <c r="Y16" s="60">
        <f>SUM(Y14:Y15)</f>
        <v>340863</v>
      </c>
      <c r="Z16" s="60">
        <f>SUM(Z14:Z15)</f>
        <v>330309</v>
      </c>
      <c r="AA16" s="61">
        <f t="shared" si="0"/>
        <v>96.90374138583536</v>
      </c>
      <c r="AB16" s="60">
        <f>SUM(AB14:AB15)</f>
        <v>328437</v>
      </c>
      <c r="AC16" s="61">
        <f t="shared" si="1"/>
        <v>100.5699723234593</v>
      </c>
      <c r="AD16" s="60">
        <f>SUM(AD14:AD15)</f>
        <v>-4415</v>
      </c>
      <c r="AE16" s="60">
        <f>SUM(AE14:AE15)</f>
        <v>7190</v>
      </c>
      <c r="AF16" s="60">
        <f>SUM(AF14:AF15)</f>
        <v>323118</v>
      </c>
      <c r="AG16" s="60">
        <f>SUM(AG14:AG15)</f>
        <v>330308</v>
      </c>
      <c r="AH16" s="61">
        <f t="shared" si="2"/>
        <v>-162.85390713476784</v>
      </c>
      <c r="AI16" s="60">
        <f>SUM(AI14:AI15)</f>
        <v>9047</v>
      </c>
      <c r="AJ16" s="61">
        <f t="shared" si="3"/>
        <v>79.473858737703111</v>
      </c>
      <c r="AK16" s="61">
        <f t="shared" si="4"/>
        <v>2.1767496495705538</v>
      </c>
    </row>
    <row r="17" spans="1:37" s="62" customFormat="1">
      <c r="A17" s="64">
        <v>202404</v>
      </c>
      <c r="B17" s="64" t="s">
        <v>296</v>
      </c>
      <c r="C17" s="64" t="s">
        <v>199</v>
      </c>
      <c r="D17" s="64" t="s">
        <v>191</v>
      </c>
      <c r="E17" s="64" t="s">
        <v>82</v>
      </c>
      <c r="F17" s="64"/>
      <c r="G17" s="64"/>
      <c r="H17" s="64"/>
      <c r="I17" s="64"/>
      <c r="J17" s="64"/>
      <c r="K17" s="64"/>
      <c r="L17" s="64"/>
      <c r="M17" s="64"/>
      <c r="N17" s="64"/>
      <c r="O17" s="64"/>
      <c r="P17" s="64"/>
      <c r="Q17" s="64"/>
      <c r="R17" s="64"/>
      <c r="S17" s="64"/>
      <c r="T17" s="64"/>
      <c r="U17" s="64"/>
      <c r="V17" s="64">
        <v>1</v>
      </c>
      <c r="W17" s="64"/>
      <c r="X17" s="64"/>
      <c r="Y17" s="64">
        <f>Y13+Y16</f>
        <v>2373863</v>
      </c>
      <c r="Z17" s="64">
        <f>Z13+Z16</f>
        <v>2710662</v>
      </c>
      <c r="AA17" s="65">
        <f t="shared" si="0"/>
        <v>114.18780275020085</v>
      </c>
      <c r="AB17" s="64">
        <f>AB13+AB16</f>
        <v>2705766</v>
      </c>
      <c r="AC17" s="65">
        <f t="shared" si="1"/>
        <v>100.18094691115196</v>
      </c>
      <c r="AD17" s="64">
        <f>AD13+AD16</f>
        <v>61585</v>
      </c>
      <c r="AE17" s="64">
        <f>AE13+AE16</f>
        <v>86254</v>
      </c>
      <c r="AF17" s="64">
        <f>AF13+AF16</f>
        <v>352237</v>
      </c>
      <c r="AG17" s="64">
        <f>AG13+AG16</f>
        <v>438491</v>
      </c>
      <c r="AH17" s="65">
        <f t="shared" si="2"/>
        <v>140.05683202078427</v>
      </c>
      <c r="AI17" s="64">
        <f>AI13+AI16</f>
        <v>88632</v>
      </c>
      <c r="AJ17" s="65">
        <f t="shared" si="3"/>
        <v>97.31699611878328</v>
      </c>
      <c r="AK17" s="65">
        <f t="shared" si="4"/>
        <v>3.1820271210501341</v>
      </c>
    </row>
    <row r="18" spans="1:37" s="62" customFormat="1" ht="14.4">
      <c r="A18" s="38"/>
      <c r="B18" s="38"/>
      <c r="C18" s="68"/>
      <c r="D18" s="68"/>
      <c r="E18" s="68"/>
      <c r="F18" s="38"/>
      <c r="G18" s="38"/>
      <c r="H18" s="38"/>
      <c r="I18" s="39" t="s">
        <v>93</v>
      </c>
      <c r="J18" s="39"/>
      <c r="K18" s="40"/>
      <c r="L18" s="40"/>
      <c r="M18" s="40"/>
      <c r="N18" s="40"/>
      <c r="O18" s="40"/>
      <c r="P18" s="40"/>
      <c r="Q18" s="40"/>
      <c r="R18" s="40"/>
      <c r="S18" s="40"/>
      <c r="T18" s="40"/>
      <c r="U18" s="40"/>
      <c r="V18" s="40"/>
      <c r="W18" s="41"/>
      <c r="X18" s="40"/>
      <c r="Y18" s="69"/>
      <c r="Z18" s="69"/>
      <c r="AA18" s="69"/>
      <c r="AB18" s="69"/>
      <c r="AC18" s="69"/>
      <c r="AD18" s="69"/>
      <c r="AE18" s="69"/>
      <c r="AF18" s="69"/>
      <c r="AG18" s="69"/>
      <c r="AH18" s="69"/>
      <c r="AJ18" s="75"/>
    </row>
    <row r="19" spans="1:37" s="62" customFormat="1">
      <c r="A19" s="64">
        <v>202404</v>
      </c>
      <c r="B19" s="64" t="s">
        <v>296</v>
      </c>
      <c r="C19" s="63" t="s">
        <v>209</v>
      </c>
      <c r="D19" s="64" t="s">
        <v>252</v>
      </c>
      <c r="E19" s="64" t="s">
        <v>82</v>
      </c>
      <c r="F19" s="64"/>
      <c r="G19" s="64"/>
      <c r="H19" s="64">
        <v>41</v>
      </c>
      <c r="I19" s="64" t="s">
        <v>159</v>
      </c>
      <c r="J19" s="64"/>
      <c r="K19" s="64"/>
      <c r="L19" s="64"/>
      <c r="M19" s="64"/>
      <c r="N19" s="64"/>
      <c r="O19" s="64"/>
      <c r="P19" s="64"/>
      <c r="Q19" s="64"/>
      <c r="R19" s="64"/>
      <c r="S19" s="64"/>
      <c r="T19" s="64" t="s">
        <v>150</v>
      </c>
      <c r="U19" s="64" t="s">
        <v>151</v>
      </c>
      <c r="V19" s="64">
        <v>0</v>
      </c>
      <c r="W19" s="64">
        <v>940000</v>
      </c>
      <c r="X19" s="64" t="s">
        <v>91</v>
      </c>
      <c r="Y19" s="64">
        <v>1250000</v>
      </c>
      <c r="Z19" s="64">
        <v>1547635</v>
      </c>
      <c r="AA19" s="65">
        <f t="shared" ref="AA19:AA25" si="6">Z19/Y19*100</f>
        <v>123.8108</v>
      </c>
      <c r="AB19" s="64">
        <v>1541023</v>
      </c>
      <c r="AC19" s="65">
        <f t="shared" ref="AC19:AC25" si="7">Z19/AB19*100</f>
        <v>100.42906562718402</v>
      </c>
      <c r="AD19" s="64">
        <v>25000</v>
      </c>
      <c r="AE19" s="64">
        <v>45704</v>
      </c>
      <c r="AF19" s="64">
        <v>18310</v>
      </c>
      <c r="AG19" s="64">
        <v>64014</v>
      </c>
      <c r="AH19" s="65">
        <f t="shared" ref="AH19:AH25" si="8">AE19/AD19*100</f>
        <v>182.816</v>
      </c>
      <c r="AI19" s="64">
        <v>39837</v>
      </c>
      <c r="AJ19" s="65">
        <f t="shared" ref="AJ19:AJ25" si="9">AE19/AI19*100</f>
        <v>114.727514622085</v>
      </c>
      <c r="AK19" s="65">
        <f t="shared" ref="AK19:AK20" si="10">AE19/Z19*100</f>
        <v>2.9531510982886795</v>
      </c>
    </row>
    <row r="20" spans="1:37" s="62" customFormat="1">
      <c r="A20" s="60">
        <v>202404</v>
      </c>
      <c r="B20" s="60" t="s">
        <v>296</v>
      </c>
      <c r="C20" s="60" t="s">
        <v>208</v>
      </c>
      <c r="D20" s="60" t="s">
        <v>252</v>
      </c>
      <c r="E20" s="60" t="s">
        <v>82</v>
      </c>
      <c r="F20" s="60"/>
      <c r="G20" s="60"/>
      <c r="H20" s="60">
        <v>41</v>
      </c>
      <c r="I20" s="60" t="s">
        <v>156</v>
      </c>
      <c r="J20" s="60"/>
      <c r="K20" s="60"/>
      <c r="L20" s="60"/>
      <c r="M20" s="60"/>
      <c r="N20" s="60"/>
      <c r="O20" s="60"/>
      <c r="P20" s="60"/>
      <c r="Q20" s="60"/>
      <c r="R20" s="60"/>
      <c r="S20" s="60"/>
      <c r="T20" s="60" t="s">
        <v>152</v>
      </c>
      <c r="U20" s="60" t="s">
        <v>153</v>
      </c>
      <c r="V20" s="60">
        <v>0</v>
      </c>
      <c r="W20" s="60">
        <v>940000</v>
      </c>
      <c r="X20" s="60" t="s">
        <v>91</v>
      </c>
      <c r="Y20" s="60">
        <v>783000</v>
      </c>
      <c r="Z20" s="60">
        <v>832718</v>
      </c>
      <c r="AA20" s="61">
        <f t="shared" si="6"/>
        <v>106.34968071519795</v>
      </c>
      <c r="AB20" s="60">
        <v>836306</v>
      </c>
      <c r="AC20" s="61">
        <f t="shared" si="7"/>
        <v>99.570970434266883</v>
      </c>
      <c r="AD20" s="60">
        <v>41000</v>
      </c>
      <c r="AE20" s="60">
        <v>33360</v>
      </c>
      <c r="AF20" s="60">
        <v>10809</v>
      </c>
      <c r="AG20" s="60">
        <v>44169</v>
      </c>
      <c r="AH20" s="61">
        <f t="shared" si="8"/>
        <v>81.365853658536579</v>
      </c>
      <c r="AI20" s="60">
        <v>39748</v>
      </c>
      <c r="AJ20" s="61">
        <f t="shared" si="9"/>
        <v>83.928751132132433</v>
      </c>
      <c r="AK20" s="61">
        <f t="shared" si="10"/>
        <v>4.0061581471758752</v>
      </c>
    </row>
    <row r="21" spans="1:37" s="62" customFormat="1">
      <c r="A21" s="64">
        <v>202404</v>
      </c>
      <c r="B21" s="64" t="s">
        <v>296</v>
      </c>
      <c r="C21" s="64" t="s">
        <v>208</v>
      </c>
      <c r="D21" s="64" t="s">
        <v>252</v>
      </c>
      <c r="E21" s="64" t="s">
        <v>82</v>
      </c>
      <c r="F21" s="64"/>
      <c r="G21" s="64"/>
      <c r="H21" s="64">
        <v>41</v>
      </c>
      <c r="I21" s="64" t="s">
        <v>156</v>
      </c>
      <c r="J21" s="64"/>
      <c r="K21" s="64"/>
      <c r="L21" s="64"/>
      <c r="M21" s="64"/>
      <c r="N21" s="64"/>
      <c r="O21" s="64"/>
      <c r="P21" s="64"/>
      <c r="Q21" s="64"/>
      <c r="R21" s="64"/>
      <c r="S21" s="64"/>
      <c r="T21" s="64"/>
      <c r="U21" s="64"/>
      <c r="V21" s="64">
        <v>1</v>
      </c>
      <c r="W21" s="64"/>
      <c r="X21" s="64" t="s">
        <v>91</v>
      </c>
      <c r="Y21" s="64">
        <f>SUM(Y19:Y20)</f>
        <v>2033000</v>
      </c>
      <c r="Z21" s="64">
        <f>SUM(Z19:Z20)</f>
        <v>2380353</v>
      </c>
      <c r="AA21" s="65">
        <f t="shared" si="6"/>
        <v>117.08573536645352</v>
      </c>
      <c r="AB21" s="64">
        <f>SUM(AB19:AB20)</f>
        <v>2377329</v>
      </c>
      <c r="AC21" s="65">
        <f t="shared" si="7"/>
        <v>100.12720157790528</v>
      </c>
      <c r="AD21" s="64">
        <f>SUM(AD19:AD20)</f>
        <v>66000</v>
      </c>
      <c r="AE21" s="64">
        <f t="shared" ref="AE21:AG21" si="11">SUM(AE19:AE20)</f>
        <v>79064</v>
      </c>
      <c r="AF21" s="64">
        <f t="shared" si="11"/>
        <v>29119</v>
      </c>
      <c r="AG21" s="64">
        <f t="shared" si="11"/>
        <v>108183</v>
      </c>
      <c r="AH21" s="65">
        <f t="shared" si="8"/>
        <v>119.79393939393938</v>
      </c>
      <c r="AI21" s="64">
        <f t="shared" ref="AI21" si="12">SUM(AI19:AI20)</f>
        <v>79585</v>
      </c>
      <c r="AJ21" s="65">
        <f t="shared" si="9"/>
        <v>99.345354023999505</v>
      </c>
      <c r="AK21" s="65">
        <f>AE21/Z21*100</f>
        <v>3.3215241604921628</v>
      </c>
    </row>
    <row r="22" spans="1:37" s="62" customFormat="1">
      <c r="A22" s="60">
        <v>202404</v>
      </c>
      <c r="B22" s="60" t="s">
        <v>296</v>
      </c>
      <c r="C22" s="60" t="s">
        <v>208</v>
      </c>
      <c r="D22" s="60" t="s">
        <v>252</v>
      </c>
      <c r="E22" s="60" t="s">
        <v>82</v>
      </c>
      <c r="F22" s="60"/>
      <c r="G22" s="60"/>
      <c r="H22" s="60">
        <v>41</v>
      </c>
      <c r="I22" s="60" t="s">
        <v>156</v>
      </c>
      <c r="J22" s="60"/>
      <c r="K22" s="60"/>
      <c r="L22" s="60"/>
      <c r="M22" s="60"/>
      <c r="N22" s="60"/>
      <c r="O22" s="60"/>
      <c r="P22" s="60"/>
      <c r="Q22" s="60"/>
      <c r="R22" s="60">
        <v>4496</v>
      </c>
      <c r="S22" s="60" t="s">
        <v>154</v>
      </c>
      <c r="T22" s="60"/>
      <c r="U22" s="60"/>
      <c r="V22" s="60">
        <v>0</v>
      </c>
      <c r="W22" s="60">
        <v>941000</v>
      </c>
      <c r="X22" s="60" t="s">
        <v>92</v>
      </c>
      <c r="Y22" s="60">
        <v>279463</v>
      </c>
      <c r="Z22" s="60">
        <v>268638</v>
      </c>
      <c r="AA22" s="61">
        <f t="shared" si="6"/>
        <v>96.126499751308756</v>
      </c>
      <c r="AB22" s="60">
        <v>267739</v>
      </c>
      <c r="AC22" s="61">
        <f t="shared" si="7"/>
        <v>100.33577476572333</v>
      </c>
      <c r="AD22" s="60">
        <v>30903</v>
      </c>
      <c r="AE22" s="60">
        <v>41792</v>
      </c>
      <c r="AF22" s="60">
        <v>226845</v>
      </c>
      <c r="AG22" s="60">
        <v>268637</v>
      </c>
      <c r="AH22" s="61">
        <f t="shared" si="8"/>
        <v>135.23606122382941</v>
      </c>
      <c r="AI22" s="60">
        <v>42243</v>
      </c>
      <c r="AJ22" s="61">
        <f t="shared" si="9"/>
        <v>98.932367492839049</v>
      </c>
      <c r="AK22" s="61">
        <f t="shared" ref="AK22" si="13">AE22/Z22*100</f>
        <v>15.556994915090197</v>
      </c>
    </row>
    <row r="23" spans="1:37" s="62" customFormat="1">
      <c r="A23" s="64">
        <v>202404</v>
      </c>
      <c r="B23" s="64" t="s">
        <v>296</v>
      </c>
      <c r="C23" s="64" t="s">
        <v>208</v>
      </c>
      <c r="D23" s="64" t="s">
        <v>252</v>
      </c>
      <c r="E23" s="64" t="s">
        <v>82</v>
      </c>
      <c r="F23" s="64"/>
      <c r="G23" s="64"/>
      <c r="H23" s="64">
        <v>41</v>
      </c>
      <c r="I23" s="64" t="s">
        <v>156</v>
      </c>
      <c r="J23" s="64"/>
      <c r="K23" s="64"/>
      <c r="L23" s="64"/>
      <c r="M23" s="64"/>
      <c r="N23" s="64"/>
      <c r="O23" s="64"/>
      <c r="P23" s="64"/>
      <c r="Q23" s="64"/>
      <c r="R23" s="64">
        <v>5614</v>
      </c>
      <c r="S23" s="64" t="s">
        <v>155</v>
      </c>
      <c r="T23" s="64"/>
      <c r="U23" s="64"/>
      <c r="V23" s="64">
        <v>0</v>
      </c>
      <c r="W23" s="64">
        <v>941000</v>
      </c>
      <c r="X23" s="64" t="s">
        <v>92</v>
      </c>
      <c r="Y23" s="64">
        <v>61400</v>
      </c>
      <c r="Z23" s="64">
        <v>61671</v>
      </c>
      <c r="AA23" s="65">
        <f t="shared" si="6"/>
        <v>100.4413680781759</v>
      </c>
      <c r="AB23" s="64">
        <v>60698</v>
      </c>
      <c r="AC23" s="65">
        <f t="shared" si="7"/>
        <v>101.6030182213582</v>
      </c>
      <c r="AD23" s="64">
        <v>-35318</v>
      </c>
      <c r="AE23" s="64">
        <v>-34602</v>
      </c>
      <c r="AF23" s="64">
        <v>96273</v>
      </c>
      <c r="AG23" s="64">
        <v>61671</v>
      </c>
      <c r="AH23" s="65">
        <f t="shared" si="8"/>
        <v>97.97270513619118</v>
      </c>
      <c r="AI23" s="64">
        <v>-33196</v>
      </c>
      <c r="AJ23" s="65">
        <f t="shared" si="9"/>
        <v>104.23545005422341</v>
      </c>
      <c r="AK23" s="65">
        <f>AE23/Z23*100</f>
        <v>-56.107408668580049</v>
      </c>
    </row>
    <row r="24" spans="1:37" s="62" customFormat="1">
      <c r="A24" s="60">
        <v>202404</v>
      </c>
      <c r="B24" s="60" t="s">
        <v>296</v>
      </c>
      <c r="C24" s="60" t="s">
        <v>208</v>
      </c>
      <c r="D24" s="60" t="s">
        <v>252</v>
      </c>
      <c r="E24" s="60" t="s">
        <v>82</v>
      </c>
      <c r="F24" s="60"/>
      <c r="G24" s="60"/>
      <c r="H24" s="60">
        <v>41</v>
      </c>
      <c r="I24" s="60" t="s">
        <v>156</v>
      </c>
      <c r="J24" s="60"/>
      <c r="K24" s="60"/>
      <c r="L24" s="60"/>
      <c r="M24" s="60"/>
      <c r="N24" s="60"/>
      <c r="O24" s="60"/>
      <c r="P24" s="60"/>
      <c r="Q24" s="60"/>
      <c r="R24" s="60"/>
      <c r="S24" s="60"/>
      <c r="T24" s="60"/>
      <c r="U24" s="60"/>
      <c r="V24" s="60">
        <v>1</v>
      </c>
      <c r="W24" s="60"/>
      <c r="X24" s="60" t="s">
        <v>92</v>
      </c>
      <c r="Y24" s="60">
        <f>SUM(Y22:Y23)</f>
        <v>340863</v>
      </c>
      <c r="Z24" s="60">
        <f>SUM(Z22:Z23)</f>
        <v>330309</v>
      </c>
      <c r="AA24" s="61">
        <f t="shared" si="6"/>
        <v>96.90374138583536</v>
      </c>
      <c r="AB24" s="60">
        <f>SUM(AB22:AB23)</f>
        <v>328437</v>
      </c>
      <c r="AC24" s="61">
        <f t="shared" si="7"/>
        <v>100.5699723234593</v>
      </c>
      <c r="AD24" s="60">
        <f>SUM(AD22:AD23)</f>
        <v>-4415</v>
      </c>
      <c r="AE24" s="60">
        <f>SUM(AE22:AE23)</f>
        <v>7190</v>
      </c>
      <c r="AF24" s="60">
        <f>SUM(AF22:AF23)</f>
        <v>323118</v>
      </c>
      <c r="AG24" s="60">
        <f>SUM(AG22:AG23)</f>
        <v>330308</v>
      </c>
      <c r="AH24" s="61">
        <f t="shared" si="8"/>
        <v>-162.85390713476784</v>
      </c>
      <c r="AI24" s="60">
        <f>SUM(AI22:AI23)</f>
        <v>9047</v>
      </c>
      <c r="AJ24" s="61">
        <f t="shared" si="9"/>
        <v>79.473858737703111</v>
      </c>
      <c r="AK24" s="61">
        <f t="shared" ref="AK24:AK25" si="14">AE24/Z24*100</f>
        <v>2.1767496495705538</v>
      </c>
    </row>
    <row r="25" spans="1:37" s="62" customFormat="1">
      <c r="A25" s="64">
        <v>202404</v>
      </c>
      <c r="B25" s="64" t="s">
        <v>296</v>
      </c>
      <c r="C25" s="64" t="s">
        <v>208</v>
      </c>
      <c r="D25" s="64" t="s">
        <v>252</v>
      </c>
      <c r="E25" s="64" t="s">
        <v>82</v>
      </c>
      <c r="F25" s="64"/>
      <c r="G25" s="64"/>
      <c r="H25" s="64">
        <v>41</v>
      </c>
      <c r="I25" s="64" t="s">
        <v>156</v>
      </c>
      <c r="J25" s="64"/>
      <c r="K25" s="64"/>
      <c r="L25" s="64"/>
      <c r="M25" s="64"/>
      <c r="N25" s="64"/>
      <c r="O25" s="64"/>
      <c r="P25" s="64"/>
      <c r="Q25" s="64"/>
      <c r="R25" s="64"/>
      <c r="S25" s="64"/>
      <c r="T25" s="64"/>
      <c r="U25" s="64"/>
      <c r="V25" s="64">
        <v>1</v>
      </c>
      <c r="W25" s="64"/>
      <c r="X25" s="64"/>
      <c r="Y25" s="64">
        <f>Y21+Y24</f>
        <v>2373863</v>
      </c>
      <c r="Z25" s="64">
        <f>Z21+Z24</f>
        <v>2710662</v>
      </c>
      <c r="AA25" s="65">
        <f t="shared" si="6"/>
        <v>114.18780275020085</v>
      </c>
      <c r="AB25" s="64">
        <f>AB21+AB24</f>
        <v>2705766</v>
      </c>
      <c r="AC25" s="65">
        <f t="shared" si="7"/>
        <v>100.18094691115196</v>
      </c>
      <c r="AD25" s="64">
        <f>AD21+AD24</f>
        <v>61585</v>
      </c>
      <c r="AE25" s="64">
        <f>AE21+AE24</f>
        <v>86254</v>
      </c>
      <c r="AF25" s="64">
        <f>AF21+AF24</f>
        <v>352237</v>
      </c>
      <c r="AG25" s="64">
        <f>AG21+AG24</f>
        <v>438491</v>
      </c>
      <c r="AH25" s="65">
        <f t="shared" si="8"/>
        <v>140.05683202078427</v>
      </c>
      <c r="AI25" s="64">
        <f>AI21+AI24</f>
        <v>88632</v>
      </c>
      <c r="AJ25" s="65">
        <f t="shared" si="9"/>
        <v>97.31699611878328</v>
      </c>
      <c r="AK25" s="65">
        <f t="shared" si="14"/>
        <v>3.1820271210501341</v>
      </c>
    </row>
    <row r="26" spans="1:37" s="62" customFormat="1" ht="14.4">
      <c r="A26" s="38"/>
      <c r="B26" s="38"/>
      <c r="C26" s="68"/>
      <c r="D26" s="68"/>
      <c r="E26" s="68"/>
      <c r="F26" s="38"/>
      <c r="G26" s="38"/>
      <c r="H26" s="38"/>
      <c r="I26" s="39" t="s">
        <v>93</v>
      </c>
      <c r="J26" s="39"/>
      <c r="K26" s="40"/>
      <c r="L26" s="40"/>
      <c r="M26" s="40"/>
      <c r="N26" s="40"/>
      <c r="O26" s="40"/>
      <c r="P26" s="40"/>
      <c r="Q26" s="40"/>
      <c r="R26" s="40"/>
      <c r="S26" s="40"/>
      <c r="T26" s="40"/>
      <c r="U26" s="40"/>
      <c r="V26" s="40"/>
      <c r="W26" s="41"/>
      <c r="X26" s="40"/>
      <c r="Y26" s="69"/>
      <c r="Z26" s="69"/>
      <c r="AA26" s="69"/>
      <c r="AB26" s="69"/>
      <c r="AC26" s="69"/>
      <c r="AD26" s="69"/>
      <c r="AE26" s="69"/>
      <c r="AF26" s="69"/>
      <c r="AG26" s="69"/>
      <c r="AH26" s="69"/>
      <c r="AJ26" s="75"/>
    </row>
    <row r="27" spans="1:37" s="62" customFormat="1">
      <c r="A27" s="64">
        <v>202404</v>
      </c>
      <c r="B27" s="64" t="s">
        <v>296</v>
      </c>
      <c r="C27" s="63" t="s">
        <v>195</v>
      </c>
      <c r="D27" s="64" t="s">
        <v>253</v>
      </c>
      <c r="E27" s="64" t="s">
        <v>82</v>
      </c>
      <c r="F27" s="64"/>
      <c r="G27" s="64"/>
      <c r="H27" s="64">
        <v>41</v>
      </c>
      <c r="I27" s="64" t="s">
        <v>156</v>
      </c>
      <c r="J27" s="63" t="s">
        <v>157</v>
      </c>
      <c r="K27" s="64" t="s">
        <v>162</v>
      </c>
      <c r="L27" s="64"/>
      <c r="M27" s="64"/>
      <c r="N27" s="64"/>
      <c r="O27" s="64"/>
      <c r="P27" s="64"/>
      <c r="Q27" s="64"/>
      <c r="R27" s="64"/>
      <c r="S27" s="64"/>
      <c r="T27" s="64" t="s">
        <v>150</v>
      </c>
      <c r="U27" s="64" t="s">
        <v>151</v>
      </c>
      <c r="V27" s="64">
        <v>0</v>
      </c>
      <c r="W27" s="64">
        <v>940000</v>
      </c>
      <c r="X27" s="64" t="s">
        <v>91</v>
      </c>
      <c r="Y27" s="64">
        <v>1250000</v>
      </c>
      <c r="Z27" s="64">
        <v>1547635</v>
      </c>
      <c r="AA27" s="65">
        <f>Z27/Y27*100</f>
        <v>123.8108</v>
      </c>
      <c r="AB27" s="64">
        <v>1541023</v>
      </c>
      <c r="AC27" s="65">
        <f>Z27/AB27*100</f>
        <v>100.42906562718402</v>
      </c>
      <c r="AD27" s="64">
        <v>25000</v>
      </c>
      <c r="AE27" s="64">
        <v>45704</v>
      </c>
      <c r="AF27" s="64">
        <v>18310</v>
      </c>
      <c r="AG27" s="64">
        <v>64014</v>
      </c>
      <c r="AH27" s="65">
        <f>AE27/AD27*100</f>
        <v>182.816</v>
      </c>
      <c r="AI27" s="64">
        <v>39837</v>
      </c>
      <c r="AJ27" s="65">
        <f>AE27/AI27*100</f>
        <v>114.727514622085</v>
      </c>
      <c r="AK27" s="65">
        <f t="shared" ref="AK27:AK28" si="15">AE27/Z27*100</f>
        <v>2.9531510982886795</v>
      </c>
    </row>
    <row r="28" spans="1:37" s="62" customFormat="1">
      <c r="A28" s="60">
        <v>202404</v>
      </c>
      <c r="B28" s="60" t="s">
        <v>296</v>
      </c>
      <c r="C28" s="60" t="s">
        <v>194</v>
      </c>
      <c r="D28" s="60" t="s">
        <v>253</v>
      </c>
      <c r="E28" s="60" t="s">
        <v>82</v>
      </c>
      <c r="F28" s="60"/>
      <c r="G28" s="60"/>
      <c r="H28" s="60">
        <v>41</v>
      </c>
      <c r="I28" s="60" t="s">
        <v>156</v>
      </c>
      <c r="J28" s="60" t="s">
        <v>157</v>
      </c>
      <c r="K28" s="60" t="s">
        <v>158</v>
      </c>
      <c r="L28" s="60"/>
      <c r="M28" s="60"/>
      <c r="N28" s="60"/>
      <c r="O28" s="60"/>
      <c r="P28" s="60"/>
      <c r="Q28" s="60"/>
      <c r="R28" s="60"/>
      <c r="S28" s="60"/>
      <c r="T28" s="60" t="s">
        <v>152</v>
      </c>
      <c r="U28" s="60" t="s">
        <v>153</v>
      </c>
      <c r="V28" s="60">
        <v>0</v>
      </c>
      <c r="W28" s="60">
        <v>940000</v>
      </c>
      <c r="X28" s="60" t="s">
        <v>91</v>
      </c>
      <c r="Y28" s="60">
        <v>783000</v>
      </c>
      <c r="Z28" s="60">
        <v>832718</v>
      </c>
      <c r="AA28" s="61">
        <f>Z28/Y28*100</f>
        <v>106.34968071519795</v>
      </c>
      <c r="AB28" s="60">
        <v>836306</v>
      </c>
      <c r="AC28" s="60">
        <v>99.6</v>
      </c>
      <c r="AD28" s="60">
        <v>41000</v>
      </c>
      <c r="AE28" s="60">
        <v>33360</v>
      </c>
      <c r="AF28" s="60">
        <v>10809</v>
      </c>
      <c r="AG28" s="60">
        <v>44169</v>
      </c>
      <c r="AH28" s="61">
        <f>AE28/AD28*100</f>
        <v>81.365853658536579</v>
      </c>
      <c r="AI28" s="60">
        <v>39748</v>
      </c>
      <c r="AJ28" s="61">
        <f>AE28/AI28*100</f>
        <v>83.928751132132433</v>
      </c>
      <c r="AK28" s="61">
        <f t="shared" si="15"/>
        <v>4.0061581471758752</v>
      </c>
    </row>
    <row r="29" spans="1:37" s="62" customFormat="1">
      <c r="A29" s="64">
        <v>202404</v>
      </c>
      <c r="B29" s="64" t="s">
        <v>296</v>
      </c>
      <c r="C29" s="64" t="s">
        <v>194</v>
      </c>
      <c r="D29" s="64" t="s">
        <v>253</v>
      </c>
      <c r="E29" s="64" t="s">
        <v>82</v>
      </c>
      <c r="F29" s="64"/>
      <c r="G29" s="64"/>
      <c r="H29" s="64">
        <v>41</v>
      </c>
      <c r="I29" s="64" t="s">
        <v>156</v>
      </c>
      <c r="J29" s="64" t="s">
        <v>157</v>
      </c>
      <c r="K29" s="64" t="s">
        <v>158</v>
      </c>
      <c r="L29" s="64"/>
      <c r="M29" s="64"/>
      <c r="N29" s="64"/>
      <c r="O29" s="64"/>
      <c r="P29" s="64"/>
      <c r="Q29" s="64"/>
      <c r="R29" s="64"/>
      <c r="S29" s="64"/>
      <c r="T29" s="64"/>
      <c r="U29" s="64"/>
      <c r="V29" s="64">
        <v>1</v>
      </c>
      <c r="W29" s="64"/>
      <c r="X29" s="64" t="s">
        <v>91</v>
      </c>
      <c r="Y29" s="64">
        <f>SUM(Y27:Y28)</f>
        <v>2033000</v>
      </c>
      <c r="Z29" s="64">
        <f>SUM(Z27:Z28)</f>
        <v>2380353</v>
      </c>
      <c r="AA29" s="65">
        <f>Z29/Y29*100</f>
        <v>117.08573536645352</v>
      </c>
      <c r="AB29" s="64">
        <f>SUM(AB27:AB28)</f>
        <v>2377329</v>
      </c>
      <c r="AC29" s="65">
        <f>Z29/AB29*100</f>
        <v>100.12720157790528</v>
      </c>
      <c r="AD29" s="64">
        <f>SUM(AD27:AD28)</f>
        <v>66000</v>
      </c>
      <c r="AE29" s="64">
        <f t="shared" ref="AE29:AG29" si="16">SUM(AE27:AE28)</f>
        <v>79064</v>
      </c>
      <c r="AF29" s="64">
        <f t="shared" si="16"/>
        <v>29119</v>
      </c>
      <c r="AG29" s="64">
        <f t="shared" si="16"/>
        <v>108183</v>
      </c>
      <c r="AH29" s="65">
        <f>AE29/AD29*100</f>
        <v>119.79393939393938</v>
      </c>
      <c r="AI29" s="64">
        <f t="shared" ref="AI29" si="17">SUM(AI27:AI28)</f>
        <v>79585</v>
      </c>
      <c r="AJ29" s="65">
        <f>AE29/AI29*100</f>
        <v>99.345354023999505</v>
      </c>
      <c r="AK29" s="65">
        <f>AE29/Z29*100</f>
        <v>3.3215241604921628</v>
      </c>
    </row>
    <row r="30" spans="1:37" s="62" customFormat="1">
      <c r="A30" s="60">
        <v>202404</v>
      </c>
      <c r="B30" s="60" t="s">
        <v>296</v>
      </c>
      <c r="C30" s="60" t="s">
        <v>194</v>
      </c>
      <c r="D30" s="60" t="s">
        <v>253</v>
      </c>
      <c r="E30" s="60" t="s">
        <v>82</v>
      </c>
      <c r="F30" s="60"/>
      <c r="G30" s="60"/>
      <c r="H30" s="60">
        <v>41</v>
      </c>
      <c r="I30" s="60" t="s">
        <v>156</v>
      </c>
      <c r="J30" s="60" t="s">
        <v>157</v>
      </c>
      <c r="K30" s="60" t="s">
        <v>158</v>
      </c>
      <c r="L30" s="60"/>
      <c r="M30" s="60"/>
      <c r="N30" s="60"/>
      <c r="O30" s="60"/>
      <c r="P30" s="60"/>
      <c r="Q30" s="60"/>
      <c r="R30" s="60">
        <v>5614</v>
      </c>
      <c r="S30" s="60" t="s">
        <v>155</v>
      </c>
      <c r="T30" s="60"/>
      <c r="U30" s="60"/>
      <c r="V30" s="60">
        <v>0</v>
      </c>
      <c r="W30" s="60">
        <v>941000</v>
      </c>
      <c r="X30" s="60" t="s">
        <v>92</v>
      </c>
      <c r="Y30" s="60">
        <v>61400</v>
      </c>
      <c r="Z30" s="60">
        <v>61671</v>
      </c>
      <c r="AA30" s="61">
        <f>Z30/Y30*100</f>
        <v>100.4413680781759</v>
      </c>
      <c r="AB30" s="60">
        <v>60698</v>
      </c>
      <c r="AC30" s="61">
        <f>Z30/AB30*100</f>
        <v>101.6030182213582</v>
      </c>
      <c r="AD30" s="60">
        <v>-35318</v>
      </c>
      <c r="AE30" s="60">
        <v>-34602</v>
      </c>
      <c r="AF30" s="60">
        <v>96273</v>
      </c>
      <c r="AG30" s="60">
        <v>61671</v>
      </c>
      <c r="AH30" s="61">
        <f>AE30/AD30*100</f>
        <v>97.97270513619118</v>
      </c>
      <c r="AI30" s="60">
        <v>-33196</v>
      </c>
      <c r="AJ30" s="61">
        <f>AE30/AI30*100</f>
        <v>104.23545005422341</v>
      </c>
      <c r="AK30" s="61">
        <f>AE30/Z30*100</f>
        <v>-56.107408668580049</v>
      </c>
    </row>
    <row r="31" spans="1:37" s="62" customFormat="1">
      <c r="A31" s="64">
        <v>202404</v>
      </c>
      <c r="B31" s="64" t="s">
        <v>296</v>
      </c>
      <c r="C31" s="64" t="s">
        <v>194</v>
      </c>
      <c r="D31" s="64" t="s">
        <v>253</v>
      </c>
      <c r="E31" s="64" t="s">
        <v>82</v>
      </c>
      <c r="F31" s="64"/>
      <c r="G31" s="64"/>
      <c r="H31" s="64">
        <v>41</v>
      </c>
      <c r="I31" s="64" t="s">
        <v>156</v>
      </c>
      <c r="J31" s="64" t="s">
        <v>157</v>
      </c>
      <c r="K31" s="64" t="s">
        <v>158</v>
      </c>
      <c r="L31" s="64"/>
      <c r="M31" s="64"/>
      <c r="N31" s="64"/>
      <c r="O31" s="64"/>
      <c r="P31" s="64"/>
      <c r="Q31" s="64"/>
      <c r="R31" s="64"/>
      <c r="S31" s="64"/>
      <c r="T31" s="64"/>
      <c r="U31" s="64"/>
      <c r="V31" s="64">
        <v>1</v>
      </c>
      <c r="W31" s="64"/>
      <c r="X31" s="64" t="s">
        <v>92</v>
      </c>
      <c r="Y31" s="64">
        <f>SUM(Y30)</f>
        <v>61400</v>
      </c>
      <c r="Z31" s="64">
        <f>SUM(Z30)</f>
        <v>61671</v>
      </c>
      <c r="AA31" s="65">
        <f>Z31/Y31*100</f>
        <v>100.4413680781759</v>
      </c>
      <c r="AB31" s="64">
        <f>SUM(AB30)</f>
        <v>60698</v>
      </c>
      <c r="AC31" s="65">
        <f>Z31/AB31*100</f>
        <v>101.6030182213582</v>
      </c>
      <c r="AD31" s="64">
        <f>SUM(AD30)</f>
        <v>-35318</v>
      </c>
      <c r="AE31" s="64">
        <f>SUM(AE30)</f>
        <v>-34602</v>
      </c>
      <c r="AF31" s="64">
        <f>SUM(AF30)</f>
        <v>96273</v>
      </c>
      <c r="AG31" s="64">
        <f>SUM(AG30)</f>
        <v>61671</v>
      </c>
      <c r="AH31" s="65">
        <f>AE31/AD31*100</f>
        <v>97.97270513619118</v>
      </c>
      <c r="AI31" s="64">
        <f>SUM(AI30)</f>
        <v>-33196</v>
      </c>
      <c r="AJ31" s="65">
        <f>AE31/AI31*100</f>
        <v>104.23545005422341</v>
      </c>
      <c r="AK31" s="65">
        <f t="shared" ref="AK31:AK32" si="18">AE31/Z31*100</f>
        <v>-56.107408668580049</v>
      </c>
    </row>
    <row r="32" spans="1:37" s="62" customFormat="1">
      <c r="A32" s="60">
        <v>202404</v>
      </c>
      <c r="B32" s="60" t="s">
        <v>296</v>
      </c>
      <c r="C32" s="60" t="s">
        <v>194</v>
      </c>
      <c r="D32" s="60" t="s">
        <v>253</v>
      </c>
      <c r="E32" s="60" t="s">
        <v>82</v>
      </c>
      <c r="F32" s="60"/>
      <c r="G32" s="60"/>
      <c r="H32" s="60">
        <v>41</v>
      </c>
      <c r="I32" s="60" t="s">
        <v>156</v>
      </c>
      <c r="J32" s="60" t="s">
        <v>157</v>
      </c>
      <c r="K32" s="60" t="s">
        <v>158</v>
      </c>
      <c r="L32" s="60"/>
      <c r="M32" s="60"/>
      <c r="N32" s="60"/>
      <c r="O32" s="60"/>
      <c r="P32" s="60"/>
      <c r="Q32" s="60"/>
      <c r="R32" s="60"/>
      <c r="S32" s="60"/>
      <c r="T32" s="60"/>
      <c r="U32" s="60"/>
      <c r="V32" s="60">
        <v>1</v>
      </c>
      <c r="W32" s="60"/>
      <c r="X32" s="60"/>
      <c r="Y32" s="60">
        <f>Y29+Y31</f>
        <v>2094400</v>
      </c>
      <c r="Z32" s="60">
        <f>Z29+Z31</f>
        <v>2442024</v>
      </c>
      <c r="AA32" s="61">
        <f t="shared" ref="AA32" si="19">Z32/Y32*100</f>
        <v>116.5977845683728</v>
      </c>
      <c r="AB32" s="60">
        <f>AB29+AB31</f>
        <v>2438027</v>
      </c>
      <c r="AC32" s="61">
        <f t="shared" ref="AC32" si="20">Z32/AB32*100</f>
        <v>100.16394404163695</v>
      </c>
      <c r="AD32" s="60">
        <f>AD29+AD31</f>
        <v>30682</v>
      </c>
      <c r="AE32" s="60">
        <f>AE29+AE31</f>
        <v>44462</v>
      </c>
      <c r="AF32" s="60">
        <f>AF29+AF31</f>
        <v>125392</v>
      </c>
      <c r="AG32" s="60">
        <f>AG29+AG31</f>
        <v>169854</v>
      </c>
      <c r="AH32" s="61">
        <f t="shared" ref="AH32" si="21">AE32/AD32*100</f>
        <v>144.91232644547293</v>
      </c>
      <c r="AI32" s="60">
        <f>AI29+AI31</f>
        <v>46389</v>
      </c>
      <c r="AJ32" s="61">
        <f t="shared" ref="AJ32" si="22">AE32/AI32*100</f>
        <v>95.845997973657546</v>
      </c>
      <c r="AK32" s="61">
        <f t="shared" si="18"/>
        <v>1.8207028268354446</v>
      </c>
    </row>
    <row r="33" spans="1:42" s="62" customFormat="1" ht="14.4">
      <c r="A33" s="38"/>
      <c r="B33" s="38"/>
      <c r="C33" s="68"/>
      <c r="D33" s="68"/>
      <c r="E33" s="68"/>
      <c r="F33" s="38"/>
      <c r="G33" s="38"/>
      <c r="H33" s="38"/>
      <c r="I33" s="39" t="s">
        <v>93</v>
      </c>
      <c r="J33" s="39"/>
      <c r="K33" s="40"/>
      <c r="L33" s="40"/>
      <c r="M33" s="40"/>
      <c r="N33" s="40"/>
      <c r="O33" s="40"/>
      <c r="P33" s="40"/>
      <c r="Q33" s="40"/>
      <c r="R33" s="40"/>
      <c r="S33" s="40"/>
      <c r="T33" s="40"/>
      <c r="U33" s="40"/>
      <c r="V33" s="40"/>
      <c r="W33" s="41"/>
      <c r="X33" s="40"/>
      <c r="Y33" s="69"/>
      <c r="Z33" s="69"/>
      <c r="AA33" s="69"/>
      <c r="AB33" s="69"/>
      <c r="AC33" s="69"/>
      <c r="AD33" s="69"/>
      <c r="AE33" s="69"/>
      <c r="AF33" s="69"/>
      <c r="AG33" s="69"/>
      <c r="AH33" s="69"/>
      <c r="AJ33" s="75"/>
    </row>
    <row r="34" spans="1:42" s="62" customFormat="1">
      <c r="A34" s="64">
        <v>202404</v>
      </c>
      <c r="B34" s="64" t="s">
        <v>296</v>
      </c>
      <c r="C34" s="63" t="s">
        <v>196</v>
      </c>
      <c r="D34" s="64" t="s">
        <v>254</v>
      </c>
      <c r="E34" s="64" t="s">
        <v>82</v>
      </c>
      <c r="F34" s="64"/>
      <c r="G34" s="64"/>
      <c r="H34" s="64">
        <v>41</v>
      </c>
      <c r="I34" s="64" t="s">
        <v>156</v>
      </c>
      <c r="J34" s="63" t="s">
        <v>157</v>
      </c>
      <c r="K34" s="64" t="s">
        <v>162</v>
      </c>
      <c r="L34" s="64"/>
      <c r="M34" s="64"/>
      <c r="N34" s="64"/>
      <c r="O34" s="64"/>
      <c r="P34" s="64">
        <v>18</v>
      </c>
      <c r="Q34" s="64" t="s">
        <v>163</v>
      </c>
      <c r="R34" s="64"/>
      <c r="S34" s="64"/>
      <c r="T34" s="64" t="s">
        <v>150</v>
      </c>
      <c r="U34" s="64" t="s">
        <v>151</v>
      </c>
      <c r="V34" s="64">
        <v>0</v>
      </c>
      <c r="W34" s="64">
        <v>940000</v>
      </c>
      <c r="X34" s="64" t="s">
        <v>91</v>
      </c>
      <c r="Y34" s="64">
        <v>1250000</v>
      </c>
      <c r="Z34" s="64">
        <v>1547635</v>
      </c>
      <c r="AA34" s="65">
        <f>Z34/Y34*100</f>
        <v>123.8108</v>
      </c>
      <c r="AB34" s="64">
        <v>1541023</v>
      </c>
      <c r="AC34" s="65">
        <f>Z34/AB34*100</f>
        <v>100.42906562718402</v>
      </c>
      <c r="AD34" s="64">
        <v>25000</v>
      </c>
      <c r="AE34" s="64">
        <v>45704</v>
      </c>
      <c r="AF34" s="64">
        <v>18310</v>
      </c>
      <c r="AG34" s="64">
        <v>64014</v>
      </c>
      <c r="AH34" s="65">
        <f>AE34/AD34*100</f>
        <v>182.816</v>
      </c>
      <c r="AI34" s="64">
        <v>39837</v>
      </c>
      <c r="AJ34" s="65">
        <f>AE34/AI34*100</f>
        <v>114.727514622085</v>
      </c>
      <c r="AK34" s="65">
        <f t="shared" ref="AK34:AK35" si="23">AE34/Z34*100</f>
        <v>2.9531510982886795</v>
      </c>
    </row>
    <row r="35" spans="1:42" s="62" customFormat="1">
      <c r="A35" s="60">
        <v>202404</v>
      </c>
      <c r="B35" s="60" t="s">
        <v>296</v>
      </c>
      <c r="C35" s="60" t="s">
        <v>70</v>
      </c>
      <c r="D35" s="60" t="s">
        <v>254</v>
      </c>
      <c r="E35" s="60" t="s">
        <v>82</v>
      </c>
      <c r="F35" s="60"/>
      <c r="G35" s="60"/>
      <c r="H35" s="60">
        <v>41</v>
      </c>
      <c r="I35" s="60" t="s">
        <v>156</v>
      </c>
      <c r="J35" s="60" t="s">
        <v>157</v>
      </c>
      <c r="K35" s="60" t="s">
        <v>158</v>
      </c>
      <c r="L35" s="60"/>
      <c r="M35" s="60"/>
      <c r="N35" s="60"/>
      <c r="O35" s="60"/>
      <c r="P35" s="60">
        <v>18</v>
      </c>
      <c r="Q35" s="60" t="s">
        <v>160</v>
      </c>
      <c r="R35" s="60"/>
      <c r="S35" s="60"/>
      <c r="T35" s="60" t="s">
        <v>152</v>
      </c>
      <c r="U35" s="60" t="s">
        <v>153</v>
      </c>
      <c r="V35" s="60">
        <v>0</v>
      </c>
      <c r="W35" s="60">
        <v>940000</v>
      </c>
      <c r="X35" s="60" t="s">
        <v>91</v>
      </c>
      <c r="Y35" s="60">
        <v>783000</v>
      </c>
      <c r="Z35" s="60">
        <v>832718</v>
      </c>
      <c r="AA35" s="61">
        <f>Z35/Y35*100</f>
        <v>106.34968071519795</v>
      </c>
      <c r="AB35" s="60">
        <v>836306</v>
      </c>
      <c r="AC35" s="60">
        <v>99.6</v>
      </c>
      <c r="AD35" s="60">
        <v>41000</v>
      </c>
      <c r="AE35" s="60">
        <v>33360</v>
      </c>
      <c r="AF35" s="60">
        <v>10809</v>
      </c>
      <c r="AG35" s="60">
        <v>44169</v>
      </c>
      <c r="AH35" s="61">
        <f>AE35/AD35*100</f>
        <v>81.365853658536579</v>
      </c>
      <c r="AI35" s="60">
        <v>39748</v>
      </c>
      <c r="AJ35" s="61">
        <f>AE35/AI35*100</f>
        <v>83.928751132132433</v>
      </c>
      <c r="AK35" s="61">
        <f t="shared" si="23"/>
        <v>4.0061581471758752</v>
      </c>
    </row>
    <row r="36" spans="1:42" s="62" customFormat="1">
      <c r="A36" s="64">
        <v>202404</v>
      </c>
      <c r="B36" s="64" t="s">
        <v>296</v>
      </c>
      <c r="C36" s="64" t="s">
        <v>70</v>
      </c>
      <c r="D36" s="64" t="s">
        <v>254</v>
      </c>
      <c r="E36" s="64" t="s">
        <v>82</v>
      </c>
      <c r="F36" s="64"/>
      <c r="G36" s="64"/>
      <c r="H36" s="64">
        <v>41</v>
      </c>
      <c r="I36" s="64" t="s">
        <v>156</v>
      </c>
      <c r="J36" s="64" t="s">
        <v>157</v>
      </c>
      <c r="K36" s="64" t="s">
        <v>158</v>
      </c>
      <c r="L36" s="64"/>
      <c r="M36" s="64"/>
      <c r="N36" s="64"/>
      <c r="O36" s="64"/>
      <c r="P36" s="64">
        <v>18</v>
      </c>
      <c r="Q36" s="64" t="s">
        <v>160</v>
      </c>
      <c r="R36" s="64"/>
      <c r="S36" s="64"/>
      <c r="T36" s="64"/>
      <c r="U36" s="64"/>
      <c r="V36" s="64">
        <v>1</v>
      </c>
      <c r="W36" s="64"/>
      <c r="X36" s="64" t="s">
        <v>91</v>
      </c>
      <c r="Y36" s="64">
        <f>SUM(Y34:Y35)</f>
        <v>2033000</v>
      </c>
      <c r="Z36" s="64">
        <f>SUM(Z34:Z35)</f>
        <v>2380353</v>
      </c>
      <c r="AA36" s="65">
        <f>Z36/Y36*100</f>
        <v>117.08573536645352</v>
      </c>
      <c r="AB36" s="64">
        <f>SUM(AB34:AB35)</f>
        <v>2377329</v>
      </c>
      <c r="AC36" s="65">
        <f>Z36/AB36*100</f>
        <v>100.12720157790528</v>
      </c>
      <c r="AD36" s="64">
        <f>SUM(AD34:AD35)</f>
        <v>66000</v>
      </c>
      <c r="AE36" s="64">
        <f t="shared" ref="AE36:AG36" si="24">SUM(AE34:AE35)</f>
        <v>79064</v>
      </c>
      <c r="AF36" s="64">
        <f t="shared" si="24"/>
        <v>29119</v>
      </c>
      <c r="AG36" s="64">
        <f t="shared" si="24"/>
        <v>108183</v>
      </c>
      <c r="AH36" s="65">
        <f>AE36/AD36*100</f>
        <v>119.79393939393938</v>
      </c>
      <c r="AI36" s="64">
        <f t="shared" ref="AI36" si="25">SUM(AI34:AI35)</f>
        <v>79585</v>
      </c>
      <c r="AJ36" s="65">
        <f>AE36/AI36*100</f>
        <v>99.345354023999505</v>
      </c>
      <c r="AK36" s="65">
        <f>AE36/Z36*100</f>
        <v>3.3215241604921628</v>
      </c>
    </row>
    <row r="37" spans="1:42" s="62" customFormat="1">
      <c r="A37" s="60">
        <v>202404</v>
      </c>
      <c r="B37" s="60" t="s">
        <v>296</v>
      </c>
      <c r="C37" s="60" t="s">
        <v>70</v>
      </c>
      <c r="D37" s="60" t="s">
        <v>254</v>
      </c>
      <c r="E37" s="60" t="s">
        <v>82</v>
      </c>
      <c r="F37" s="60"/>
      <c r="G37" s="60"/>
      <c r="H37" s="60">
        <v>41</v>
      </c>
      <c r="I37" s="60" t="s">
        <v>156</v>
      </c>
      <c r="J37" s="60" t="s">
        <v>157</v>
      </c>
      <c r="K37" s="60" t="s">
        <v>158</v>
      </c>
      <c r="L37" s="60"/>
      <c r="M37" s="60"/>
      <c r="N37" s="60"/>
      <c r="O37" s="60"/>
      <c r="P37" s="60">
        <v>18</v>
      </c>
      <c r="Q37" s="60" t="s">
        <v>160</v>
      </c>
      <c r="R37" s="60">
        <v>5614</v>
      </c>
      <c r="S37" s="60" t="s">
        <v>155</v>
      </c>
      <c r="T37" s="60"/>
      <c r="U37" s="60"/>
      <c r="V37" s="60">
        <v>0</v>
      </c>
      <c r="W37" s="60">
        <v>941000</v>
      </c>
      <c r="X37" s="60" t="s">
        <v>92</v>
      </c>
      <c r="Y37" s="60">
        <v>61400</v>
      </c>
      <c r="Z37" s="60">
        <v>61671</v>
      </c>
      <c r="AA37" s="61">
        <f>Z37/Y37*100</f>
        <v>100.4413680781759</v>
      </c>
      <c r="AB37" s="60">
        <v>60698</v>
      </c>
      <c r="AC37" s="61">
        <f>Z37/AB37*100</f>
        <v>101.6030182213582</v>
      </c>
      <c r="AD37" s="60">
        <v>-35318</v>
      </c>
      <c r="AE37" s="60">
        <v>-34602</v>
      </c>
      <c r="AF37" s="60">
        <v>96273</v>
      </c>
      <c r="AG37" s="60">
        <v>61671</v>
      </c>
      <c r="AH37" s="61">
        <f>AE37/AD37*100</f>
        <v>97.97270513619118</v>
      </c>
      <c r="AI37" s="60">
        <v>-33196</v>
      </c>
      <c r="AJ37" s="61">
        <f>AE37/AI37*100</f>
        <v>104.23545005422341</v>
      </c>
      <c r="AK37" s="61">
        <f>AE37/Z37*100</f>
        <v>-56.107408668580049</v>
      </c>
    </row>
    <row r="38" spans="1:42" s="62" customFormat="1">
      <c r="A38" s="64">
        <v>202404</v>
      </c>
      <c r="B38" s="64" t="s">
        <v>296</v>
      </c>
      <c r="C38" s="64" t="s">
        <v>70</v>
      </c>
      <c r="D38" s="64" t="s">
        <v>254</v>
      </c>
      <c r="E38" s="64" t="s">
        <v>82</v>
      </c>
      <c r="F38" s="64"/>
      <c r="G38" s="64"/>
      <c r="H38" s="64">
        <v>41</v>
      </c>
      <c r="I38" s="64" t="s">
        <v>156</v>
      </c>
      <c r="J38" s="64" t="s">
        <v>157</v>
      </c>
      <c r="K38" s="64" t="s">
        <v>158</v>
      </c>
      <c r="L38" s="64"/>
      <c r="M38" s="64"/>
      <c r="N38" s="64"/>
      <c r="O38" s="64"/>
      <c r="P38" s="64">
        <v>18</v>
      </c>
      <c r="Q38" s="64" t="s">
        <v>160</v>
      </c>
      <c r="R38" s="64"/>
      <c r="S38" s="64"/>
      <c r="T38" s="64"/>
      <c r="U38" s="64"/>
      <c r="V38" s="64">
        <v>1</v>
      </c>
      <c r="W38" s="64"/>
      <c r="X38" s="64" t="s">
        <v>92</v>
      </c>
      <c r="Y38" s="64">
        <f>SUM(Y37)</f>
        <v>61400</v>
      </c>
      <c r="Z38" s="64">
        <f>SUM(Z37)</f>
        <v>61671</v>
      </c>
      <c r="AA38" s="65">
        <f>Z38/Y38*100</f>
        <v>100.4413680781759</v>
      </c>
      <c r="AB38" s="64">
        <f>SUM(AB37)</f>
        <v>60698</v>
      </c>
      <c r="AC38" s="65">
        <f>Z38/AB38*100</f>
        <v>101.6030182213582</v>
      </c>
      <c r="AD38" s="64">
        <f>SUM(AD37)</f>
        <v>-35318</v>
      </c>
      <c r="AE38" s="64">
        <f>SUM(AE37)</f>
        <v>-34602</v>
      </c>
      <c r="AF38" s="64">
        <f>SUM(AF37)</f>
        <v>96273</v>
      </c>
      <c r="AG38" s="64">
        <f>SUM(AG37)</f>
        <v>61671</v>
      </c>
      <c r="AH38" s="65">
        <f>AE38/AD38*100</f>
        <v>97.97270513619118</v>
      </c>
      <c r="AI38" s="64">
        <f>SUM(AI37)</f>
        <v>-33196</v>
      </c>
      <c r="AJ38" s="65">
        <f>AE38/AI38*100</f>
        <v>104.23545005422341</v>
      </c>
      <c r="AK38" s="65">
        <f t="shared" ref="AK38:AK39" si="26">AE38/Z38*100</f>
        <v>-56.107408668580049</v>
      </c>
    </row>
    <row r="39" spans="1:42" s="62" customFormat="1">
      <c r="A39" s="60">
        <v>202404</v>
      </c>
      <c r="B39" s="60" t="s">
        <v>296</v>
      </c>
      <c r="C39" s="60" t="s">
        <v>70</v>
      </c>
      <c r="D39" s="60" t="s">
        <v>254</v>
      </c>
      <c r="E39" s="60" t="s">
        <v>82</v>
      </c>
      <c r="F39" s="60"/>
      <c r="G39" s="60"/>
      <c r="H39" s="60">
        <v>41</v>
      </c>
      <c r="I39" s="60" t="s">
        <v>156</v>
      </c>
      <c r="J39" s="60" t="s">
        <v>157</v>
      </c>
      <c r="K39" s="60" t="s">
        <v>158</v>
      </c>
      <c r="L39" s="60"/>
      <c r="M39" s="60"/>
      <c r="N39" s="60"/>
      <c r="O39" s="60"/>
      <c r="P39" s="60">
        <v>18</v>
      </c>
      <c r="Q39" s="60" t="s">
        <v>160</v>
      </c>
      <c r="R39" s="60"/>
      <c r="S39" s="60"/>
      <c r="T39" s="60"/>
      <c r="U39" s="60"/>
      <c r="V39" s="60">
        <v>1</v>
      </c>
      <c r="W39" s="60"/>
      <c r="X39" s="60"/>
      <c r="Y39" s="60">
        <f>Y36+Y38</f>
        <v>2094400</v>
      </c>
      <c r="Z39" s="60">
        <f>Z36+Z38</f>
        <v>2442024</v>
      </c>
      <c r="AA39" s="61">
        <f t="shared" ref="AA39" si="27">Z39/Y39*100</f>
        <v>116.5977845683728</v>
      </c>
      <c r="AB39" s="60">
        <f>AB36+AB38</f>
        <v>2438027</v>
      </c>
      <c r="AC39" s="61">
        <f t="shared" ref="AC39" si="28">Z39/AB39*100</f>
        <v>100.16394404163695</v>
      </c>
      <c r="AD39" s="60">
        <f>AD36+AD38</f>
        <v>30682</v>
      </c>
      <c r="AE39" s="60">
        <f>AE36+AE38</f>
        <v>44462</v>
      </c>
      <c r="AF39" s="60">
        <f>AF36+AF38</f>
        <v>125392</v>
      </c>
      <c r="AG39" s="60">
        <f>AG36+AG38</f>
        <v>169854</v>
      </c>
      <c r="AH39" s="61">
        <f t="shared" ref="AH39" si="29">AE39/AD39*100</f>
        <v>144.91232644547293</v>
      </c>
      <c r="AI39" s="60">
        <f>AI36+AI38</f>
        <v>46389</v>
      </c>
      <c r="AJ39" s="61">
        <f t="shared" ref="AJ39" si="30">AE39/AI39*100</f>
        <v>95.845997973657546</v>
      </c>
      <c r="AK39" s="61">
        <f t="shared" si="26"/>
        <v>1.8207028268354446</v>
      </c>
    </row>
    <row r="40" spans="1:42" ht="14.4">
      <c r="A40" s="45"/>
      <c r="B40" s="45"/>
      <c r="F40" s="45"/>
      <c r="G40" s="45"/>
      <c r="H40" s="45"/>
      <c r="I40" s="46" t="s">
        <v>93</v>
      </c>
      <c r="AC40" s="74"/>
      <c r="AD40" s="74"/>
      <c r="AG40" s="74"/>
      <c r="AH40" s="74"/>
      <c r="AI40" s="74"/>
      <c r="AJ40" s="74"/>
    </row>
    <row r="41" spans="1:42">
      <c r="A41" s="45"/>
      <c r="F41" s="45"/>
      <c r="G41" s="45"/>
      <c r="H41" s="45"/>
      <c r="X41" s="42"/>
      <c r="Z41" s="42"/>
      <c r="AA41" s="43"/>
      <c r="AB41" s="43"/>
      <c r="AC41" s="43"/>
      <c r="AD41" s="43"/>
      <c r="AE41" s="44"/>
      <c r="AF41" s="43"/>
      <c r="AG41" s="43"/>
      <c r="AH41" s="43"/>
      <c r="AI41" s="43"/>
      <c r="AJ41" s="43"/>
    </row>
    <row r="42" spans="1:42" s="45" customFormat="1" ht="16.2">
      <c r="A42" s="49" t="s">
        <v>203</v>
      </c>
      <c r="B42" s="56"/>
      <c r="AL42" s="56"/>
      <c r="AM42" s="56"/>
      <c r="AN42" s="56"/>
      <c r="AO42" s="56"/>
      <c r="AP42" s="56"/>
    </row>
    <row r="43" spans="1:42" s="45" customFormat="1" ht="39.6">
      <c r="A43" s="35" t="s">
        <v>125</v>
      </c>
      <c r="B43" s="35" t="s">
        <v>126</v>
      </c>
      <c r="C43" s="36" t="s">
        <v>192</v>
      </c>
      <c r="D43" s="36" t="s">
        <v>193</v>
      </c>
      <c r="E43" s="36" t="s">
        <v>127</v>
      </c>
      <c r="F43" s="35" t="s">
        <v>53</v>
      </c>
      <c r="G43" s="35" t="s">
        <v>128</v>
      </c>
      <c r="H43" s="37" t="s">
        <v>129</v>
      </c>
      <c r="I43" s="37" t="s">
        <v>130</v>
      </c>
      <c r="J43" s="37" t="s">
        <v>131</v>
      </c>
      <c r="K43" s="37" t="s">
        <v>132</v>
      </c>
      <c r="L43" s="37" t="s">
        <v>166</v>
      </c>
      <c r="M43" s="37" t="s">
        <v>167</v>
      </c>
      <c r="N43" s="37" t="s">
        <v>270</v>
      </c>
      <c r="O43" s="37" t="s">
        <v>271</v>
      </c>
      <c r="P43" s="37" t="s">
        <v>285</v>
      </c>
      <c r="Q43" s="37" t="s">
        <v>291</v>
      </c>
      <c r="R43" s="37" t="s">
        <v>200</v>
      </c>
      <c r="S43" s="37" t="s">
        <v>201</v>
      </c>
      <c r="T43" s="37" t="s">
        <v>99</v>
      </c>
      <c r="U43" s="37" t="s">
        <v>101</v>
      </c>
      <c r="V43" s="37" t="s">
        <v>135</v>
      </c>
      <c r="W43" s="37" t="s">
        <v>136</v>
      </c>
      <c r="X43" s="37" t="s">
        <v>137</v>
      </c>
      <c r="Y43" s="37" t="s">
        <v>138</v>
      </c>
      <c r="Z43" s="37" t="s">
        <v>139</v>
      </c>
      <c r="AA43" s="37" t="s">
        <v>140</v>
      </c>
      <c r="AB43" s="37" t="s">
        <v>141</v>
      </c>
      <c r="AC43" s="37" t="s">
        <v>142</v>
      </c>
      <c r="AD43" s="37" t="s">
        <v>143</v>
      </c>
      <c r="AE43" s="37" t="s">
        <v>144</v>
      </c>
      <c r="AF43" s="37" t="s">
        <v>145</v>
      </c>
      <c r="AG43" s="37" t="s">
        <v>146</v>
      </c>
      <c r="AH43" s="37" t="s">
        <v>147</v>
      </c>
      <c r="AI43" s="57" t="s">
        <v>148</v>
      </c>
      <c r="AJ43" s="57" t="s">
        <v>149</v>
      </c>
      <c r="AK43" s="57" t="s">
        <v>104</v>
      </c>
      <c r="AL43" s="56"/>
      <c r="AM43" s="56"/>
      <c r="AN43" s="56"/>
    </row>
    <row r="44" spans="1:42" s="45" customFormat="1">
      <c r="A44" s="63" t="s">
        <v>298</v>
      </c>
      <c r="B44" s="63" t="s">
        <v>296</v>
      </c>
      <c r="C44" s="64" t="s">
        <v>189</v>
      </c>
      <c r="D44" s="64" t="s">
        <v>300</v>
      </c>
      <c r="E44" s="64" t="s">
        <v>90</v>
      </c>
      <c r="F44" s="64">
        <v>90</v>
      </c>
      <c r="G44" s="64" t="s">
        <v>161</v>
      </c>
      <c r="H44" s="64"/>
      <c r="I44" s="64"/>
      <c r="J44" s="64"/>
      <c r="K44" s="64"/>
      <c r="L44" s="64"/>
      <c r="M44" s="64"/>
      <c r="N44" s="64"/>
      <c r="O44" s="64"/>
      <c r="P44" s="64"/>
      <c r="Q44" s="64"/>
      <c r="R44" s="64"/>
      <c r="S44" s="64"/>
      <c r="T44" s="64" t="s">
        <v>150</v>
      </c>
      <c r="U44" s="64" t="s">
        <v>151</v>
      </c>
      <c r="V44" s="64">
        <v>0</v>
      </c>
      <c r="W44" s="64">
        <v>940000</v>
      </c>
      <c r="X44" s="64" t="s">
        <v>91</v>
      </c>
      <c r="Y44" s="64">
        <v>1250000</v>
      </c>
      <c r="Z44" s="64">
        <v>1547635</v>
      </c>
      <c r="AA44" s="65">
        <f t="shared" ref="AA44:AA50" si="31">Z44/Y44*100</f>
        <v>123.8108</v>
      </c>
      <c r="AB44" s="64">
        <v>1541023</v>
      </c>
      <c r="AC44" s="65">
        <f t="shared" ref="AC44:AC50" si="32">Z44/AB44*100</f>
        <v>100.42906562718402</v>
      </c>
      <c r="AD44" s="64">
        <v>25000</v>
      </c>
      <c r="AE44" s="64">
        <v>45704</v>
      </c>
      <c r="AF44" s="64">
        <v>18310</v>
      </c>
      <c r="AG44" s="64">
        <v>64014</v>
      </c>
      <c r="AH44" s="65">
        <f t="shared" ref="AH44:AH50" si="33">AE44/AD44*100</f>
        <v>182.816</v>
      </c>
      <c r="AI44" s="64">
        <v>39837</v>
      </c>
      <c r="AJ44" s="65">
        <f t="shared" ref="AJ44:AJ50" si="34">AE44/AI44*100</f>
        <v>114.727514622085</v>
      </c>
      <c r="AK44" s="65">
        <f t="shared" ref="AK44:AK50" si="35">AE44/Z44*100</f>
        <v>2.9531510982886795</v>
      </c>
      <c r="AL44" s="56"/>
      <c r="AM44" s="56"/>
      <c r="AN44" s="56"/>
    </row>
    <row r="45" spans="1:42" s="45" customFormat="1">
      <c r="A45" s="60">
        <v>202404</v>
      </c>
      <c r="B45" s="60" t="s">
        <v>296</v>
      </c>
      <c r="C45" s="60" t="s">
        <v>189</v>
      </c>
      <c r="D45" s="60" t="s">
        <v>300</v>
      </c>
      <c r="E45" s="60" t="s">
        <v>90</v>
      </c>
      <c r="F45" s="60">
        <v>90</v>
      </c>
      <c r="G45" s="60" t="s">
        <v>161</v>
      </c>
      <c r="H45" s="60"/>
      <c r="I45" s="60"/>
      <c r="J45" s="60"/>
      <c r="K45" s="60"/>
      <c r="L45" s="60"/>
      <c r="M45" s="60"/>
      <c r="N45" s="60"/>
      <c r="O45" s="60"/>
      <c r="P45" s="60"/>
      <c r="Q45" s="60"/>
      <c r="R45" s="60"/>
      <c r="S45" s="60"/>
      <c r="T45" s="60" t="s">
        <v>152</v>
      </c>
      <c r="U45" s="60" t="s">
        <v>153</v>
      </c>
      <c r="V45" s="60">
        <v>0</v>
      </c>
      <c r="W45" s="60">
        <v>940000</v>
      </c>
      <c r="X45" s="60" t="s">
        <v>91</v>
      </c>
      <c r="Y45" s="60">
        <v>783000</v>
      </c>
      <c r="Z45" s="60">
        <v>832718</v>
      </c>
      <c r="AA45" s="61">
        <f t="shared" si="31"/>
        <v>106.34968071519795</v>
      </c>
      <c r="AB45" s="60">
        <v>836306</v>
      </c>
      <c r="AC45" s="61">
        <f t="shared" si="32"/>
        <v>99.570970434266883</v>
      </c>
      <c r="AD45" s="60">
        <v>41000</v>
      </c>
      <c r="AE45" s="60">
        <v>33360</v>
      </c>
      <c r="AF45" s="60">
        <v>10809</v>
      </c>
      <c r="AG45" s="60">
        <v>44169</v>
      </c>
      <c r="AH45" s="61">
        <f t="shared" si="33"/>
        <v>81.365853658536579</v>
      </c>
      <c r="AI45" s="60">
        <v>39748</v>
      </c>
      <c r="AJ45" s="61">
        <f t="shared" si="34"/>
        <v>83.928751132132433</v>
      </c>
      <c r="AK45" s="61">
        <f t="shared" si="35"/>
        <v>4.0061581471758752</v>
      </c>
      <c r="AL45" s="56"/>
      <c r="AM45" s="56"/>
      <c r="AN45" s="56"/>
    </row>
    <row r="46" spans="1:42" s="45" customFormat="1">
      <c r="A46" s="64">
        <v>202404</v>
      </c>
      <c r="B46" s="64" t="s">
        <v>296</v>
      </c>
      <c r="C46" s="64" t="s">
        <v>189</v>
      </c>
      <c r="D46" s="64" t="s">
        <v>300</v>
      </c>
      <c r="E46" s="64" t="s">
        <v>82</v>
      </c>
      <c r="F46" s="64">
        <v>90</v>
      </c>
      <c r="G46" s="64" t="s">
        <v>161</v>
      </c>
      <c r="H46" s="64"/>
      <c r="I46" s="64"/>
      <c r="J46" s="64"/>
      <c r="K46" s="64"/>
      <c r="L46" s="64"/>
      <c r="M46" s="64"/>
      <c r="N46" s="64"/>
      <c r="O46" s="64"/>
      <c r="P46" s="64"/>
      <c r="Q46" s="64"/>
      <c r="R46" s="64"/>
      <c r="S46" s="64"/>
      <c r="T46" s="64"/>
      <c r="U46" s="64"/>
      <c r="V46" s="64">
        <v>1</v>
      </c>
      <c r="W46" s="64"/>
      <c r="X46" s="64" t="s">
        <v>91</v>
      </c>
      <c r="Y46" s="64">
        <f>SUM(Y44:Y45)</f>
        <v>2033000</v>
      </c>
      <c r="Z46" s="64">
        <f>SUM(Z44:Z45)</f>
        <v>2380353</v>
      </c>
      <c r="AA46" s="65">
        <f t="shared" si="31"/>
        <v>117.08573536645352</v>
      </c>
      <c r="AB46" s="64">
        <f>SUM(AB44:AB45)</f>
        <v>2377329</v>
      </c>
      <c r="AC46" s="65">
        <f t="shared" si="32"/>
        <v>100.12720157790528</v>
      </c>
      <c r="AD46" s="64">
        <f>SUM(AD44:AD45)</f>
        <v>66000</v>
      </c>
      <c r="AE46" s="64">
        <f t="shared" ref="AE46:AI46" si="36">SUM(AE44:AE45)</f>
        <v>79064</v>
      </c>
      <c r="AF46" s="64">
        <f t="shared" si="36"/>
        <v>29119</v>
      </c>
      <c r="AG46" s="64">
        <f t="shared" si="36"/>
        <v>108183</v>
      </c>
      <c r="AH46" s="65">
        <f t="shared" si="33"/>
        <v>119.79393939393938</v>
      </c>
      <c r="AI46" s="64">
        <f t="shared" si="36"/>
        <v>79585</v>
      </c>
      <c r="AJ46" s="65">
        <f t="shared" si="34"/>
        <v>99.345354023999505</v>
      </c>
      <c r="AK46" s="65">
        <f>AE46/Z46*100</f>
        <v>3.3215241604921628</v>
      </c>
      <c r="AL46" s="56"/>
      <c r="AM46" s="56"/>
      <c r="AN46" s="56"/>
    </row>
    <row r="47" spans="1:42" s="45" customFormat="1">
      <c r="A47" s="60">
        <v>202404</v>
      </c>
      <c r="B47" s="60" t="s">
        <v>296</v>
      </c>
      <c r="C47" s="60" t="s">
        <v>189</v>
      </c>
      <c r="D47" s="60" t="s">
        <v>300</v>
      </c>
      <c r="E47" s="60" t="s">
        <v>82</v>
      </c>
      <c r="F47" s="60">
        <v>90</v>
      </c>
      <c r="G47" s="60" t="s">
        <v>161</v>
      </c>
      <c r="H47" s="60"/>
      <c r="I47" s="60"/>
      <c r="J47" s="60"/>
      <c r="K47" s="60"/>
      <c r="L47" s="60"/>
      <c r="M47" s="60"/>
      <c r="N47" s="60"/>
      <c r="O47" s="60"/>
      <c r="P47" s="60"/>
      <c r="Q47" s="60"/>
      <c r="R47" s="60">
        <v>4496</v>
      </c>
      <c r="S47" s="60" t="s">
        <v>154</v>
      </c>
      <c r="T47" s="60"/>
      <c r="U47" s="60"/>
      <c r="V47" s="60">
        <v>0</v>
      </c>
      <c r="W47" s="60">
        <v>941000</v>
      </c>
      <c r="X47" s="60" t="s">
        <v>92</v>
      </c>
      <c r="Y47" s="60">
        <v>279463</v>
      </c>
      <c r="Z47" s="60">
        <v>268638</v>
      </c>
      <c r="AA47" s="61">
        <f t="shared" si="31"/>
        <v>96.126499751308756</v>
      </c>
      <c r="AB47" s="60">
        <v>267739</v>
      </c>
      <c r="AC47" s="61">
        <f t="shared" si="32"/>
        <v>100.33577476572333</v>
      </c>
      <c r="AD47" s="60">
        <v>30903</v>
      </c>
      <c r="AE47" s="60">
        <v>41792</v>
      </c>
      <c r="AF47" s="60">
        <v>226845</v>
      </c>
      <c r="AG47" s="60">
        <v>268637</v>
      </c>
      <c r="AH47" s="61">
        <f t="shared" si="33"/>
        <v>135.23606122382941</v>
      </c>
      <c r="AI47" s="60">
        <v>42243</v>
      </c>
      <c r="AJ47" s="61">
        <f t="shared" si="34"/>
        <v>98.932367492839049</v>
      </c>
      <c r="AK47" s="61">
        <f t="shared" si="35"/>
        <v>15.556994915090197</v>
      </c>
      <c r="AL47" s="56"/>
      <c r="AM47" s="56"/>
      <c r="AN47" s="56"/>
    </row>
    <row r="48" spans="1:42" s="45" customFormat="1">
      <c r="A48" s="64">
        <v>202404</v>
      </c>
      <c r="B48" s="64" t="s">
        <v>296</v>
      </c>
      <c r="C48" s="64" t="s">
        <v>189</v>
      </c>
      <c r="D48" s="64" t="s">
        <v>300</v>
      </c>
      <c r="E48" s="64" t="s">
        <v>82</v>
      </c>
      <c r="F48" s="64">
        <v>90</v>
      </c>
      <c r="G48" s="64" t="s">
        <v>161</v>
      </c>
      <c r="H48" s="64"/>
      <c r="I48" s="64"/>
      <c r="J48" s="64"/>
      <c r="K48" s="64"/>
      <c r="L48" s="64"/>
      <c r="M48" s="64"/>
      <c r="N48" s="64"/>
      <c r="O48" s="64"/>
      <c r="P48" s="64"/>
      <c r="Q48" s="64"/>
      <c r="R48" s="64">
        <v>5614</v>
      </c>
      <c r="S48" s="64" t="s">
        <v>155</v>
      </c>
      <c r="T48" s="64"/>
      <c r="U48" s="64"/>
      <c r="V48" s="64">
        <v>0</v>
      </c>
      <c r="W48" s="64">
        <v>941000</v>
      </c>
      <c r="X48" s="64" t="s">
        <v>92</v>
      </c>
      <c r="Y48" s="64">
        <v>61400</v>
      </c>
      <c r="Z48" s="64">
        <v>61671</v>
      </c>
      <c r="AA48" s="65">
        <f t="shared" si="31"/>
        <v>100.4413680781759</v>
      </c>
      <c r="AB48" s="64">
        <v>60698</v>
      </c>
      <c r="AC48" s="65">
        <f t="shared" si="32"/>
        <v>101.6030182213582</v>
      </c>
      <c r="AD48" s="64">
        <v>-35318</v>
      </c>
      <c r="AE48" s="64">
        <v>-34602</v>
      </c>
      <c r="AF48" s="64">
        <v>96273</v>
      </c>
      <c r="AG48" s="64">
        <v>61671</v>
      </c>
      <c r="AH48" s="65">
        <f t="shared" si="33"/>
        <v>97.97270513619118</v>
      </c>
      <c r="AI48" s="64">
        <v>-33196</v>
      </c>
      <c r="AJ48" s="65">
        <f t="shared" si="34"/>
        <v>104.23545005422341</v>
      </c>
      <c r="AK48" s="65">
        <f>AE48/Z48*100</f>
        <v>-56.107408668580049</v>
      </c>
      <c r="AL48" s="56"/>
      <c r="AM48" s="56"/>
      <c r="AN48" s="56"/>
    </row>
    <row r="49" spans="1:43" s="45" customFormat="1">
      <c r="A49" s="60">
        <v>202404</v>
      </c>
      <c r="B49" s="60" t="s">
        <v>296</v>
      </c>
      <c r="C49" s="60" t="s">
        <v>189</v>
      </c>
      <c r="D49" s="60" t="s">
        <v>300</v>
      </c>
      <c r="E49" s="60" t="s">
        <v>82</v>
      </c>
      <c r="F49" s="60">
        <v>90</v>
      </c>
      <c r="G49" s="60" t="s">
        <v>161</v>
      </c>
      <c r="H49" s="60"/>
      <c r="I49" s="60"/>
      <c r="J49" s="60"/>
      <c r="K49" s="60"/>
      <c r="L49" s="60"/>
      <c r="M49" s="60"/>
      <c r="N49" s="60"/>
      <c r="O49" s="60"/>
      <c r="P49" s="60"/>
      <c r="Q49" s="60"/>
      <c r="R49" s="60"/>
      <c r="S49" s="60"/>
      <c r="T49" s="60"/>
      <c r="U49" s="60"/>
      <c r="V49" s="60">
        <v>1</v>
      </c>
      <c r="W49" s="60"/>
      <c r="X49" s="60" t="s">
        <v>92</v>
      </c>
      <c r="Y49" s="60">
        <f>SUM(Y47:Y48)</f>
        <v>340863</v>
      </c>
      <c r="Z49" s="60">
        <f>SUM(Z47:Z48)</f>
        <v>330309</v>
      </c>
      <c r="AA49" s="61">
        <f t="shared" si="31"/>
        <v>96.90374138583536</v>
      </c>
      <c r="AB49" s="60">
        <f>SUM(AB47:AB48)</f>
        <v>328437</v>
      </c>
      <c r="AC49" s="61">
        <f t="shared" si="32"/>
        <v>100.5699723234593</v>
      </c>
      <c r="AD49" s="60">
        <f>SUM(AD47:AD48)</f>
        <v>-4415</v>
      </c>
      <c r="AE49" s="60">
        <f>SUM(AE47:AE48)</f>
        <v>7190</v>
      </c>
      <c r="AF49" s="60">
        <f>SUM(AF47:AF48)</f>
        <v>323118</v>
      </c>
      <c r="AG49" s="60">
        <f>SUM(AG47:AG48)</f>
        <v>330308</v>
      </c>
      <c r="AH49" s="61">
        <f t="shared" si="33"/>
        <v>-162.85390713476784</v>
      </c>
      <c r="AI49" s="60">
        <f>SUM(AI47:AI48)</f>
        <v>9047</v>
      </c>
      <c r="AJ49" s="61">
        <f t="shared" si="34"/>
        <v>79.473858737703111</v>
      </c>
      <c r="AK49" s="61">
        <f t="shared" si="35"/>
        <v>2.1767496495705538</v>
      </c>
      <c r="AL49" s="56"/>
      <c r="AM49" s="56"/>
      <c r="AN49" s="56"/>
    </row>
    <row r="50" spans="1:43" s="45" customFormat="1">
      <c r="A50" s="64">
        <v>202404</v>
      </c>
      <c r="B50" s="64" t="s">
        <v>296</v>
      </c>
      <c r="C50" s="64" t="s">
        <v>189</v>
      </c>
      <c r="D50" s="64" t="s">
        <v>300</v>
      </c>
      <c r="E50" s="64" t="s">
        <v>82</v>
      </c>
      <c r="F50" s="64">
        <v>90</v>
      </c>
      <c r="G50" s="64" t="s">
        <v>161</v>
      </c>
      <c r="H50" s="64"/>
      <c r="I50" s="64"/>
      <c r="J50" s="64"/>
      <c r="K50" s="64"/>
      <c r="L50" s="64"/>
      <c r="M50" s="64"/>
      <c r="N50" s="64"/>
      <c r="O50" s="64"/>
      <c r="P50" s="64"/>
      <c r="Q50" s="64"/>
      <c r="R50" s="64"/>
      <c r="S50" s="64"/>
      <c r="T50" s="64"/>
      <c r="U50" s="64"/>
      <c r="V50" s="64">
        <v>1</v>
      </c>
      <c r="W50" s="64"/>
      <c r="X50" s="64"/>
      <c r="Y50" s="64">
        <f>Y46+Y49</f>
        <v>2373863</v>
      </c>
      <c r="Z50" s="64">
        <f>Z46+Z49</f>
        <v>2710662</v>
      </c>
      <c r="AA50" s="65">
        <f t="shared" si="31"/>
        <v>114.18780275020085</v>
      </c>
      <c r="AB50" s="64">
        <f>AB46+AB49</f>
        <v>2705766</v>
      </c>
      <c r="AC50" s="65">
        <f t="shared" si="32"/>
        <v>100.18094691115196</v>
      </c>
      <c r="AD50" s="64">
        <f>AD46+AD49</f>
        <v>61585</v>
      </c>
      <c r="AE50" s="64">
        <f>AE46+AE49</f>
        <v>86254</v>
      </c>
      <c r="AF50" s="64">
        <f>AF46+AF49</f>
        <v>352237</v>
      </c>
      <c r="AG50" s="64">
        <f>AG46+AG49</f>
        <v>438491</v>
      </c>
      <c r="AH50" s="65">
        <f t="shared" si="33"/>
        <v>140.05683202078427</v>
      </c>
      <c r="AI50" s="64">
        <f>AI46+AI49</f>
        <v>88632</v>
      </c>
      <c r="AJ50" s="65">
        <f t="shared" si="34"/>
        <v>97.31699611878328</v>
      </c>
      <c r="AK50" s="65">
        <f t="shared" si="35"/>
        <v>3.1820271210501341</v>
      </c>
      <c r="AL50" s="56"/>
      <c r="AM50" s="56"/>
      <c r="AN50" s="56"/>
    </row>
    <row r="51" spans="1:43" s="45" customFormat="1" ht="14.4">
      <c r="A51" s="38"/>
      <c r="B51" s="38"/>
      <c r="C51" s="68"/>
      <c r="D51" s="68"/>
      <c r="E51" s="68"/>
      <c r="F51" s="38"/>
      <c r="G51" s="38"/>
      <c r="H51" s="38"/>
      <c r="I51" s="39" t="s">
        <v>93</v>
      </c>
      <c r="J51" s="39"/>
      <c r="K51" s="40"/>
      <c r="L51" s="40"/>
      <c r="M51" s="40"/>
      <c r="N51" s="40"/>
      <c r="O51" s="40"/>
      <c r="P51" s="40"/>
      <c r="Q51" s="40"/>
      <c r="R51" s="40"/>
      <c r="S51" s="40"/>
      <c r="T51" s="40"/>
      <c r="U51" s="40"/>
      <c r="V51" s="40"/>
      <c r="W51" s="41"/>
      <c r="X51" s="40"/>
      <c r="Y51" s="69"/>
      <c r="Z51" s="69"/>
      <c r="AA51" s="69"/>
      <c r="AB51" s="69"/>
      <c r="AC51" s="69"/>
      <c r="AD51" s="69"/>
      <c r="AE51" s="69"/>
      <c r="AF51" s="69"/>
      <c r="AG51" s="69"/>
      <c r="AH51" s="69"/>
      <c r="AI51" s="62"/>
      <c r="AJ51" s="75"/>
      <c r="AK51" s="62"/>
      <c r="AL51" s="56"/>
      <c r="AM51" s="56"/>
      <c r="AN51" s="56"/>
    </row>
    <row r="52" spans="1:43" s="45" customFormat="1">
      <c r="A52" s="64">
        <v>202404</v>
      </c>
      <c r="B52" s="64" t="s">
        <v>296</v>
      </c>
      <c r="C52" s="64" t="s">
        <v>208</v>
      </c>
      <c r="D52" s="64" t="s">
        <v>252</v>
      </c>
      <c r="E52" s="64" t="s">
        <v>82</v>
      </c>
      <c r="F52" s="64">
        <v>90</v>
      </c>
      <c r="G52" s="64" t="s">
        <v>161</v>
      </c>
      <c r="H52" s="64">
        <v>41</v>
      </c>
      <c r="I52" s="64" t="s">
        <v>159</v>
      </c>
      <c r="J52" s="64"/>
      <c r="K52" s="64"/>
      <c r="L52" s="64"/>
      <c r="M52" s="64"/>
      <c r="N52" s="64"/>
      <c r="O52" s="64"/>
      <c r="P52" s="64"/>
      <c r="Q52" s="64"/>
      <c r="R52" s="64"/>
      <c r="S52" s="64"/>
      <c r="T52" s="64" t="s">
        <v>150</v>
      </c>
      <c r="U52" s="64" t="s">
        <v>151</v>
      </c>
      <c r="V52" s="64">
        <v>0</v>
      </c>
      <c r="W52" s="64">
        <v>940000</v>
      </c>
      <c r="X52" s="64" t="s">
        <v>91</v>
      </c>
      <c r="Y52" s="64">
        <v>1250000</v>
      </c>
      <c r="Z52" s="64">
        <v>1547635</v>
      </c>
      <c r="AA52" s="65">
        <f t="shared" ref="AA52:AA58" si="37">Z52/Y52*100</f>
        <v>123.8108</v>
      </c>
      <c r="AB52" s="64">
        <v>1541023</v>
      </c>
      <c r="AC52" s="65">
        <f t="shared" ref="AC52:AC58" si="38">Z52/AB52*100</f>
        <v>100.42906562718402</v>
      </c>
      <c r="AD52" s="64">
        <v>25000</v>
      </c>
      <c r="AE52" s="64">
        <v>45704</v>
      </c>
      <c r="AF52" s="64">
        <v>18310</v>
      </c>
      <c r="AG52" s="64">
        <v>64014</v>
      </c>
      <c r="AH52" s="65">
        <f t="shared" ref="AH52:AH58" si="39">AE52/AD52*100</f>
        <v>182.816</v>
      </c>
      <c r="AI52" s="64">
        <v>39837</v>
      </c>
      <c r="AJ52" s="65">
        <f t="shared" ref="AJ52:AJ58" si="40">AE52/AI52*100</f>
        <v>114.727514622085</v>
      </c>
      <c r="AK52" s="65">
        <f t="shared" ref="AK52:AK53" si="41">AE52/Z52*100</f>
        <v>2.9531510982886795</v>
      </c>
      <c r="AL52" s="56"/>
      <c r="AM52" s="56"/>
      <c r="AN52" s="56"/>
    </row>
    <row r="53" spans="1:43" s="45" customFormat="1">
      <c r="A53" s="60">
        <v>202404</v>
      </c>
      <c r="B53" s="60" t="s">
        <v>296</v>
      </c>
      <c r="C53" s="60" t="s">
        <v>208</v>
      </c>
      <c r="D53" s="60" t="s">
        <v>252</v>
      </c>
      <c r="E53" s="60" t="s">
        <v>82</v>
      </c>
      <c r="F53" s="60">
        <v>90</v>
      </c>
      <c r="G53" s="60" t="s">
        <v>161</v>
      </c>
      <c r="H53" s="60">
        <v>41</v>
      </c>
      <c r="I53" s="60" t="s">
        <v>156</v>
      </c>
      <c r="J53" s="60"/>
      <c r="K53" s="60"/>
      <c r="L53" s="60"/>
      <c r="M53" s="60"/>
      <c r="N53" s="60"/>
      <c r="O53" s="60"/>
      <c r="P53" s="60"/>
      <c r="Q53" s="60"/>
      <c r="R53" s="60"/>
      <c r="S53" s="60"/>
      <c r="T53" s="60" t="s">
        <v>152</v>
      </c>
      <c r="U53" s="60" t="s">
        <v>153</v>
      </c>
      <c r="V53" s="60">
        <v>0</v>
      </c>
      <c r="W53" s="60">
        <v>940000</v>
      </c>
      <c r="X53" s="60" t="s">
        <v>91</v>
      </c>
      <c r="Y53" s="60">
        <v>783000</v>
      </c>
      <c r="Z53" s="60">
        <v>832718</v>
      </c>
      <c r="AA53" s="61">
        <f t="shared" si="37"/>
        <v>106.34968071519795</v>
      </c>
      <c r="AB53" s="60">
        <v>836306</v>
      </c>
      <c r="AC53" s="61">
        <f t="shared" si="38"/>
        <v>99.570970434266883</v>
      </c>
      <c r="AD53" s="60">
        <v>41000</v>
      </c>
      <c r="AE53" s="60">
        <v>33360</v>
      </c>
      <c r="AF53" s="60">
        <v>10809</v>
      </c>
      <c r="AG53" s="60">
        <v>44169</v>
      </c>
      <c r="AH53" s="61">
        <f t="shared" si="39"/>
        <v>81.365853658536579</v>
      </c>
      <c r="AI53" s="60">
        <v>39748</v>
      </c>
      <c r="AJ53" s="61">
        <f t="shared" si="40"/>
        <v>83.928751132132433</v>
      </c>
      <c r="AK53" s="61">
        <f t="shared" si="41"/>
        <v>4.0061581471758752</v>
      </c>
      <c r="AL53" s="56"/>
      <c r="AM53" s="56"/>
      <c r="AN53" s="56"/>
    </row>
    <row r="54" spans="1:43">
      <c r="A54" s="64">
        <v>202404</v>
      </c>
      <c r="B54" s="64" t="s">
        <v>296</v>
      </c>
      <c r="C54" s="64" t="s">
        <v>208</v>
      </c>
      <c r="D54" s="64" t="s">
        <v>252</v>
      </c>
      <c r="E54" s="64" t="s">
        <v>82</v>
      </c>
      <c r="F54" s="64">
        <v>90</v>
      </c>
      <c r="G54" s="64" t="s">
        <v>161</v>
      </c>
      <c r="H54" s="64">
        <v>41</v>
      </c>
      <c r="I54" s="64" t="s">
        <v>156</v>
      </c>
      <c r="J54" s="64"/>
      <c r="K54" s="64"/>
      <c r="L54" s="64"/>
      <c r="M54" s="64"/>
      <c r="N54" s="64"/>
      <c r="O54" s="64"/>
      <c r="P54" s="64"/>
      <c r="Q54" s="64"/>
      <c r="R54" s="64"/>
      <c r="S54" s="64"/>
      <c r="T54" s="64"/>
      <c r="U54" s="64"/>
      <c r="V54" s="64">
        <v>1</v>
      </c>
      <c r="W54" s="64"/>
      <c r="X54" s="64" t="s">
        <v>91</v>
      </c>
      <c r="Y54" s="64">
        <f>SUM(Y52:Y53)</f>
        <v>2033000</v>
      </c>
      <c r="Z54" s="64">
        <f>SUM(Z52:Z53)</f>
        <v>2380353</v>
      </c>
      <c r="AA54" s="65">
        <f t="shared" si="37"/>
        <v>117.08573536645352</v>
      </c>
      <c r="AB54" s="64">
        <f>SUM(AB52:AB53)</f>
        <v>2377329</v>
      </c>
      <c r="AC54" s="65">
        <f t="shared" si="38"/>
        <v>100.12720157790528</v>
      </c>
      <c r="AD54" s="64">
        <f>SUM(AD52:AD53)</f>
        <v>66000</v>
      </c>
      <c r="AE54" s="64">
        <f t="shared" ref="AE54:AG54" si="42">SUM(AE52:AE53)</f>
        <v>79064</v>
      </c>
      <c r="AF54" s="64">
        <f t="shared" si="42"/>
        <v>29119</v>
      </c>
      <c r="AG54" s="64">
        <f t="shared" si="42"/>
        <v>108183</v>
      </c>
      <c r="AH54" s="65">
        <f t="shared" si="39"/>
        <v>119.79393939393938</v>
      </c>
      <c r="AI54" s="64">
        <f t="shared" ref="AI54" si="43">SUM(AI52:AI53)</f>
        <v>79585</v>
      </c>
      <c r="AJ54" s="65">
        <f t="shared" si="40"/>
        <v>99.345354023999505</v>
      </c>
      <c r="AK54" s="65">
        <f>AE54/Z54*100</f>
        <v>3.3215241604921628</v>
      </c>
      <c r="AO54" s="45"/>
      <c r="AQ54" s="56"/>
    </row>
    <row r="55" spans="1:43">
      <c r="A55" s="60">
        <v>202404</v>
      </c>
      <c r="B55" s="60" t="s">
        <v>296</v>
      </c>
      <c r="C55" s="60" t="s">
        <v>208</v>
      </c>
      <c r="D55" s="60" t="s">
        <v>252</v>
      </c>
      <c r="E55" s="60" t="s">
        <v>82</v>
      </c>
      <c r="F55" s="60">
        <v>90</v>
      </c>
      <c r="G55" s="60" t="s">
        <v>161</v>
      </c>
      <c r="H55" s="60">
        <v>41</v>
      </c>
      <c r="I55" s="60" t="s">
        <v>156</v>
      </c>
      <c r="J55" s="60"/>
      <c r="K55" s="60"/>
      <c r="L55" s="60"/>
      <c r="M55" s="60"/>
      <c r="N55" s="60"/>
      <c r="O55" s="60"/>
      <c r="P55" s="60"/>
      <c r="Q55" s="60"/>
      <c r="R55" s="60">
        <v>4496</v>
      </c>
      <c r="S55" s="60" t="s">
        <v>154</v>
      </c>
      <c r="T55" s="60"/>
      <c r="U55" s="60"/>
      <c r="V55" s="60">
        <v>0</v>
      </c>
      <c r="W55" s="60">
        <v>941000</v>
      </c>
      <c r="X55" s="60" t="s">
        <v>92</v>
      </c>
      <c r="Y55" s="60">
        <v>279463</v>
      </c>
      <c r="Z55" s="60">
        <v>268638</v>
      </c>
      <c r="AA55" s="61">
        <f t="shared" si="37"/>
        <v>96.126499751308756</v>
      </c>
      <c r="AB55" s="60">
        <v>267739</v>
      </c>
      <c r="AC55" s="61">
        <f t="shared" si="38"/>
        <v>100.33577476572333</v>
      </c>
      <c r="AD55" s="60">
        <v>30903</v>
      </c>
      <c r="AE55" s="60">
        <v>41792</v>
      </c>
      <c r="AF55" s="60">
        <v>226845</v>
      </c>
      <c r="AG55" s="60">
        <v>268637</v>
      </c>
      <c r="AH55" s="61">
        <f t="shared" si="39"/>
        <v>135.23606122382941</v>
      </c>
      <c r="AI55" s="60">
        <v>42243</v>
      </c>
      <c r="AJ55" s="61">
        <f t="shared" si="40"/>
        <v>98.932367492839049</v>
      </c>
      <c r="AK55" s="61">
        <f t="shared" ref="AK55" si="44">AE55/Z55*100</f>
        <v>15.556994915090197</v>
      </c>
      <c r="AO55" s="45"/>
      <c r="AQ55" s="56"/>
    </row>
    <row r="56" spans="1:43">
      <c r="A56" s="64">
        <v>202404</v>
      </c>
      <c r="B56" s="64" t="s">
        <v>296</v>
      </c>
      <c r="C56" s="64" t="s">
        <v>208</v>
      </c>
      <c r="D56" s="64" t="s">
        <v>252</v>
      </c>
      <c r="E56" s="64" t="s">
        <v>82</v>
      </c>
      <c r="F56" s="64">
        <v>90</v>
      </c>
      <c r="G56" s="64" t="s">
        <v>161</v>
      </c>
      <c r="H56" s="64">
        <v>41</v>
      </c>
      <c r="I56" s="64" t="s">
        <v>156</v>
      </c>
      <c r="J56" s="64"/>
      <c r="K56" s="64"/>
      <c r="L56" s="64"/>
      <c r="M56" s="64"/>
      <c r="N56" s="64"/>
      <c r="O56" s="64"/>
      <c r="P56" s="64"/>
      <c r="Q56" s="64"/>
      <c r="R56" s="64">
        <v>5614</v>
      </c>
      <c r="S56" s="64" t="s">
        <v>155</v>
      </c>
      <c r="T56" s="64"/>
      <c r="U56" s="64"/>
      <c r="V56" s="64">
        <v>0</v>
      </c>
      <c r="W56" s="64">
        <v>941000</v>
      </c>
      <c r="X56" s="64" t="s">
        <v>92</v>
      </c>
      <c r="Y56" s="64">
        <v>61400</v>
      </c>
      <c r="Z56" s="64">
        <v>61671</v>
      </c>
      <c r="AA56" s="65">
        <f t="shared" si="37"/>
        <v>100.4413680781759</v>
      </c>
      <c r="AB56" s="64">
        <v>60698</v>
      </c>
      <c r="AC56" s="65">
        <f t="shared" si="38"/>
        <v>101.6030182213582</v>
      </c>
      <c r="AD56" s="64">
        <v>-35318</v>
      </c>
      <c r="AE56" s="64">
        <v>-34602</v>
      </c>
      <c r="AF56" s="64">
        <v>96273</v>
      </c>
      <c r="AG56" s="64">
        <v>61671</v>
      </c>
      <c r="AH56" s="65">
        <f t="shared" si="39"/>
        <v>97.97270513619118</v>
      </c>
      <c r="AI56" s="64">
        <v>-33196</v>
      </c>
      <c r="AJ56" s="65">
        <f t="shared" si="40"/>
        <v>104.23545005422341</v>
      </c>
      <c r="AK56" s="65">
        <f>AE56/Z56*100</f>
        <v>-56.107408668580049</v>
      </c>
      <c r="AO56" s="45"/>
      <c r="AQ56" s="56"/>
    </row>
    <row r="57" spans="1:43">
      <c r="A57" s="60">
        <v>202404</v>
      </c>
      <c r="B57" s="60" t="s">
        <v>296</v>
      </c>
      <c r="C57" s="60" t="s">
        <v>208</v>
      </c>
      <c r="D57" s="60" t="s">
        <v>252</v>
      </c>
      <c r="E57" s="60" t="s">
        <v>82</v>
      </c>
      <c r="F57" s="60">
        <v>90</v>
      </c>
      <c r="G57" s="60" t="s">
        <v>161</v>
      </c>
      <c r="H57" s="60">
        <v>41</v>
      </c>
      <c r="I57" s="60" t="s">
        <v>156</v>
      </c>
      <c r="J57" s="60"/>
      <c r="K57" s="60"/>
      <c r="L57" s="60"/>
      <c r="M57" s="60"/>
      <c r="N57" s="60"/>
      <c r="O57" s="60"/>
      <c r="P57" s="60"/>
      <c r="Q57" s="60"/>
      <c r="R57" s="60"/>
      <c r="S57" s="60"/>
      <c r="T57" s="60"/>
      <c r="U57" s="60"/>
      <c r="V57" s="60">
        <v>1</v>
      </c>
      <c r="W57" s="60"/>
      <c r="X57" s="60" t="s">
        <v>92</v>
      </c>
      <c r="Y57" s="60">
        <f>SUM(Y55:Y56)</f>
        <v>340863</v>
      </c>
      <c r="Z57" s="60">
        <f>SUM(Z55:Z56)</f>
        <v>330309</v>
      </c>
      <c r="AA57" s="61">
        <f t="shared" si="37"/>
        <v>96.90374138583536</v>
      </c>
      <c r="AB57" s="60">
        <f>SUM(AB55:AB56)</f>
        <v>328437</v>
      </c>
      <c r="AC57" s="61">
        <f t="shared" si="38"/>
        <v>100.5699723234593</v>
      </c>
      <c r="AD57" s="60">
        <f>SUM(AD55:AD56)</f>
        <v>-4415</v>
      </c>
      <c r="AE57" s="60">
        <f>SUM(AE55:AE56)</f>
        <v>7190</v>
      </c>
      <c r="AF57" s="60">
        <f>SUM(AF55:AF56)</f>
        <v>323118</v>
      </c>
      <c r="AG57" s="60">
        <f>SUM(AG55:AG56)</f>
        <v>330308</v>
      </c>
      <c r="AH57" s="61">
        <f t="shared" si="39"/>
        <v>-162.85390713476784</v>
      </c>
      <c r="AI57" s="60">
        <f>SUM(AI55:AI56)</f>
        <v>9047</v>
      </c>
      <c r="AJ57" s="61">
        <f t="shared" si="40"/>
        <v>79.473858737703111</v>
      </c>
      <c r="AK57" s="61">
        <f t="shared" ref="AK57:AK58" si="45">AE57/Z57*100</f>
        <v>2.1767496495705538</v>
      </c>
      <c r="AO57" s="45"/>
      <c r="AQ57" s="56"/>
    </row>
    <row r="58" spans="1:43">
      <c r="A58" s="64">
        <v>202404</v>
      </c>
      <c r="B58" s="64" t="s">
        <v>296</v>
      </c>
      <c r="C58" s="64" t="s">
        <v>208</v>
      </c>
      <c r="D58" s="64" t="s">
        <v>252</v>
      </c>
      <c r="E58" s="64" t="s">
        <v>82</v>
      </c>
      <c r="F58" s="64">
        <v>90</v>
      </c>
      <c r="G58" s="64" t="s">
        <v>161</v>
      </c>
      <c r="H58" s="64">
        <v>41</v>
      </c>
      <c r="I58" s="64" t="s">
        <v>156</v>
      </c>
      <c r="J58" s="64"/>
      <c r="K58" s="64"/>
      <c r="L58" s="64"/>
      <c r="M58" s="64"/>
      <c r="N58" s="64"/>
      <c r="O58" s="64"/>
      <c r="P58" s="64"/>
      <c r="Q58" s="64"/>
      <c r="R58" s="64"/>
      <c r="S58" s="64"/>
      <c r="T58" s="64"/>
      <c r="U58" s="64"/>
      <c r="V58" s="64">
        <v>1</v>
      </c>
      <c r="W58" s="64"/>
      <c r="X58" s="64"/>
      <c r="Y58" s="64">
        <f>Y54+Y57</f>
        <v>2373863</v>
      </c>
      <c r="Z58" s="64">
        <f>Z54+Z57</f>
        <v>2710662</v>
      </c>
      <c r="AA58" s="65">
        <f t="shared" si="37"/>
        <v>114.18780275020085</v>
      </c>
      <c r="AB58" s="64">
        <f>AB54+AB57</f>
        <v>2705766</v>
      </c>
      <c r="AC58" s="65">
        <f t="shared" si="38"/>
        <v>100.18094691115196</v>
      </c>
      <c r="AD58" s="64">
        <f>AD54+AD57</f>
        <v>61585</v>
      </c>
      <c r="AE58" s="64">
        <f>AE54+AE57</f>
        <v>86254</v>
      </c>
      <c r="AF58" s="64">
        <f>AF54+AF57</f>
        <v>352237</v>
      </c>
      <c r="AG58" s="64">
        <f>AG54+AG57</f>
        <v>438491</v>
      </c>
      <c r="AH58" s="65">
        <f t="shared" si="39"/>
        <v>140.05683202078427</v>
      </c>
      <c r="AI58" s="64">
        <f>AI54+AI57</f>
        <v>88632</v>
      </c>
      <c r="AJ58" s="65">
        <f t="shared" si="40"/>
        <v>97.31699611878328</v>
      </c>
      <c r="AK58" s="65">
        <f t="shared" si="45"/>
        <v>3.1820271210501341</v>
      </c>
      <c r="AO58" s="45"/>
      <c r="AQ58" s="56"/>
    </row>
    <row r="59" spans="1:43" ht="14.4">
      <c r="A59" s="38"/>
      <c r="B59" s="38"/>
      <c r="C59" s="68"/>
      <c r="D59" s="68"/>
      <c r="E59" s="68"/>
      <c r="F59" s="38"/>
      <c r="G59" s="38"/>
      <c r="H59" s="38"/>
      <c r="I59" s="39" t="s">
        <v>93</v>
      </c>
      <c r="J59" s="39"/>
      <c r="K59" s="40"/>
      <c r="L59" s="40"/>
      <c r="M59" s="40"/>
      <c r="N59" s="40"/>
      <c r="O59" s="40"/>
      <c r="P59" s="40"/>
      <c r="Q59" s="40"/>
      <c r="R59" s="40"/>
      <c r="S59" s="40"/>
      <c r="T59" s="40"/>
      <c r="U59" s="40"/>
      <c r="V59" s="40"/>
      <c r="W59" s="41"/>
      <c r="X59" s="40"/>
      <c r="Y59" s="69"/>
      <c r="Z59" s="69"/>
      <c r="AA59" s="69"/>
      <c r="AB59" s="69"/>
      <c r="AC59" s="69"/>
      <c r="AD59" s="69"/>
      <c r="AE59" s="69"/>
      <c r="AF59" s="69"/>
      <c r="AG59" s="69"/>
      <c r="AH59" s="69"/>
      <c r="AI59" s="62"/>
      <c r="AJ59" s="75"/>
      <c r="AK59" s="62"/>
      <c r="AO59" s="45"/>
      <c r="AQ59" s="56"/>
    </row>
    <row r="60" spans="1:43">
      <c r="A60" s="64">
        <v>202404</v>
      </c>
      <c r="B60" s="64" t="s">
        <v>296</v>
      </c>
      <c r="C60" s="63" t="s">
        <v>195</v>
      </c>
      <c r="D60" s="64" t="s">
        <v>253</v>
      </c>
      <c r="E60" s="64" t="s">
        <v>82</v>
      </c>
      <c r="F60" s="64">
        <v>90</v>
      </c>
      <c r="G60" s="64" t="s">
        <v>161</v>
      </c>
      <c r="H60" s="64">
        <v>41</v>
      </c>
      <c r="I60" s="64" t="s">
        <v>156</v>
      </c>
      <c r="J60" s="63" t="s">
        <v>157</v>
      </c>
      <c r="K60" s="64" t="s">
        <v>162</v>
      </c>
      <c r="L60" s="64"/>
      <c r="M60" s="64"/>
      <c r="N60" s="64"/>
      <c r="O60" s="64"/>
      <c r="P60" s="64"/>
      <c r="Q60" s="64"/>
      <c r="R60" s="64"/>
      <c r="S60" s="64"/>
      <c r="T60" s="64" t="s">
        <v>150</v>
      </c>
      <c r="U60" s="64" t="s">
        <v>151</v>
      </c>
      <c r="V60" s="64">
        <v>0</v>
      </c>
      <c r="W60" s="64">
        <v>940000</v>
      </c>
      <c r="X60" s="64" t="s">
        <v>91</v>
      </c>
      <c r="Y60" s="64">
        <v>1250000</v>
      </c>
      <c r="Z60" s="64">
        <v>1547635</v>
      </c>
      <c r="AA60" s="65">
        <f>Z60/Y60*100</f>
        <v>123.8108</v>
      </c>
      <c r="AB60" s="64">
        <v>1541023</v>
      </c>
      <c r="AC60" s="65">
        <f>Z60/AB60*100</f>
        <v>100.42906562718402</v>
      </c>
      <c r="AD60" s="64">
        <v>25000</v>
      </c>
      <c r="AE60" s="64">
        <v>45704</v>
      </c>
      <c r="AF60" s="64">
        <v>18310</v>
      </c>
      <c r="AG60" s="64">
        <v>64014</v>
      </c>
      <c r="AH60" s="65">
        <f>AE60/AD60*100</f>
        <v>182.816</v>
      </c>
      <c r="AI60" s="64">
        <v>39837</v>
      </c>
      <c r="AJ60" s="65">
        <f>AE60/AI60*100</f>
        <v>114.727514622085</v>
      </c>
      <c r="AK60" s="65">
        <f t="shared" ref="AK60:AK61" si="46">AE60/Z60*100</f>
        <v>2.9531510982886795</v>
      </c>
      <c r="AO60" s="45"/>
      <c r="AQ60" s="56"/>
    </row>
    <row r="61" spans="1:43">
      <c r="A61" s="60">
        <v>202404</v>
      </c>
      <c r="B61" s="60" t="s">
        <v>296</v>
      </c>
      <c r="C61" s="60" t="s">
        <v>194</v>
      </c>
      <c r="D61" s="60" t="s">
        <v>253</v>
      </c>
      <c r="E61" s="60" t="s">
        <v>82</v>
      </c>
      <c r="F61" s="60">
        <v>90</v>
      </c>
      <c r="G61" s="60" t="s">
        <v>161</v>
      </c>
      <c r="H61" s="60">
        <v>41</v>
      </c>
      <c r="I61" s="60" t="s">
        <v>156</v>
      </c>
      <c r="J61" s="60" t="s">
        <v>157</v>
      </c>
      <c r="K61" s="60" t="s">
        <v>158</v>
      </c>
      <c r="L61" s="60"/>
      <c r="M61" s="60"/>
      <c r="N61" s="60"/>
      <c r="O61" s="60"/>
      <c r="P61" s="60"/>
      <c r="Q61" s="60"/>
      <c r="R61" s="60"/>
      <c r="S61" s="60"/>
      <c r="T61" s="60" t="s">
        <v>152</v>
      </c>
      <c r="U61" s="60" t="s">
        <v>153</v>
      </c>
      <c r="V61" s="60">
        <v>0</v>
      </c>
      <c r="W61" s="60">
        <v>940000</v>
      </c>
      <c r="X61" s="60" t="s">
        <v>91</v>
      </c>
      <c r="Y61" s="60">
        <v>783000</v>
      </c>
      <c r="Z61" s="60">
        <v>832718</v>
      </c>
      <c r="AA61" s="61">
        <f>Z61/Y61*100</f>
        <v>106.34968071519795</v>
      </c>
      <c r="AB61" s="60">
        <v>836306</v>
      </c>
      <c r="AC61" s="60">
        <v>99.6</v>
      </c>
      <c r="AD61" s="60">
        <v>41000</v>
      </c>
      <c r="AE61" s="60">
        <v>33360</v>
      </c>
      <c r="AF61" s="60">
        <v>10809</v>
      </c>
      <c r="AG61" s="60">
        <v>44169</v>
      </c>
      <c r="AH61" s="61">
        <f>AE61/AD61*100</f>
        <v>81.365853658536579</v>
      </c>
      <c r="AI61" s="60">
        <v>39748</v>
      </c>
      <c r="AJ61" s="61">
        <f>AE61/AI61*100</f>
        <v>83.928751132132433</v>
      </c>
      <c r="AK61" s="61">
        <f t="shared" si="46"/>
        <v>4.0061581471758752</v>
      </c>
      <c r="AO61" s="45"/>
      <c r="AQ61" s="56"/>
    </row>
    <row r="62" spans="1:43">
      <c r="A62" s="64">
        <v>202404</v>
      </c>
      <c r="B62" s="64" t="s">
        <v>296</v>
      </c>
      <c r="C62" s="64" t="s">
        <v>194</v>
      </c>
      <c r="D62" s="64" t="s">
        <v>253</v>
      </c>
      <c r="E62" s="64" t="s">
        <v>82</v>
      </c>
      <c r="F62" s="64">
        <v>90</v>
      </c>
      <c r="G62" s="64" t="s">
        <v>161</v>
      </c>
      <c r="H62" s="64">
        <v>41</v>
      </c>
      <c r="I62" s="64" t="s">
        <v>156</v>
      </c>
      <c r="J62" s="64" t="s">
        <v>157</v>
      </c>
      <c r="K62" s="64" t="s">
        <v>158</v>
      </c>
      <c r="L62" s="64"/>
      <c r="M62" s="64"/>
      <c r="N62" s="64"/>
      <c r="O62" s="64"/>
      <c r="P62" s="64"/>
      <c r="Q62" s="64"/>
      <c r="R62" s="64"/>
      <c r="S62" s="64"/>
      <c r="T62" s="64"/>
      <c r="U62" s="64"/>
      <c r="V62" s="64">
        <v>1</v>
      </c>
      <c r="W62" s="64"/>
      <c r="X62" s="64" t="s">
        <v>91</v>
      </c>
      <c r="Y62" s="64">
        <f>SUM(Y60:Y61)</f>
        <v>2033000</v>
      </c>
      <c r="Z62" s="64">
        <f>SUM(Z60:Z61)</f>
        <v>2380353</v>
      </c>
      <c r="AA62" s="65">
        <f>Z62/Y62*100</f>
        <v>117.08573536645352</v>
      </c>
      <c r="AB62" s="64">
        <f>SUM(AB60:AB61)</f>
        <v>2377329</v>
      </c>
      <c r="AC62" s="65">
        <f>Z62/AB62*100</f>
        <v>100.12720157790528</v>
      </c>
      <c r="AD62" s="64">
        <f>SUM(AD60:AD61)</f>
        <v>66000</v>
      </c>
      <c r="AE62" s="64">
        <f t="shared" ref="AE62:AG62" si="47">SUM(AE60:AE61)</f>
        <v>79064</v>
      </c>
      <c r="AF62" s="64">
        <f t="shared" si="47"/>
        <v>29119</v>
      </c>
      <c r="AG62" s="64">
        <f t="shared" si="47"/>
        <v>108183</v>
      </c>
      <c r="AH62" s="65">
        <f>AE62/AD62*100</f>
        <v>119.79393939393938</v>
      </c>
      <c r="AI62" s="64">
        <f t="shared" ref="AI62" si="48">SUM(AI60:AI61)</f>
        <v>79585</v>
      </c>
      <c r="AJ62" s="65">
        <f>AE62/AI62*100</f>
        <v>99.345354023999505</v>
      </c>
      <c r="AK62" s="65">
        <f>AE62/Z62*100</f>
        <v>3.3215241604921628</v>
      </c>
      <c r="AO62" s="45"/>
      <c r="AQ62" s="56"/>
    </row>
    <row r="63" spans="1:43">
      <c r="A63" s="60">
        <v>202404</v>
      </c>
      <c r="B63" s="60" t="s">
        <v>296</v>
      </c>
      <c r="C63" s="60" t="s">
        <v>194</v>
      </c>
      <c r="D63" s="60" t="s">
        <v>253</v>
      </c>
      <c r="E63" s="60" t="s">
        <v>82</v>
      </c>
      <c r="F63" s="60">
        <v>90</v>
      </c>
      <c r="G63" s="60" t="s">
        <v>161</v>
      </c>
      <c r="H63" s="60">
        <v>41</v>
      </c>
      <c r="I63" s="60" t="s">
        <v>156</v>
      </c>
      <c r="J63" s="60" t="s">
        <v>157</v>
      </c>
      <c r="K63" s="60" t="s">
        <v>158</v>
      </c>
      <c r="L63" s="60"/>
      <c r="M63" s="60"/>
      <c r="N63" s="60"/>
      <c r="O63" s="60"/>
      <c r="P63" s="60"/>
      <c r="Q63" s="60"/>
      <c r="R63" s="60">
        <v>5614</v>
      </c>
      <c r="S63" s="60" t="s">
        <v>155</v>
      </c>
      <c r="T63" s="60"/>
      <c r="U63" s="60"/>
      <c r="V63" s="60">
        <v>0</v>
      </c>
      <c r="W63" s="60">
        <v>941000</v>
      </c>
      <c r="X63" s="60" t="s">
        <v>92</v>
      </c>
      <c r="Y63" s="60">
        <v>61400</v>
      </c>
      <c r="Z63" s="60">
        <v>61671</v>
      </c>
      <c r="AA63" s="61">
        <f>Z63/Y63*100</f>
        <v>100.4413680781759</v>
      </c>
      <c r="AB63" s="60">
        <v>60698</v>
      </c>
      <c r="AC63" s="61">
        <f>Z63/AB63*100</f>
        <v>101.6030182213582</v>
      </c>
      <c r="AD63" s="60">
        <v>-35318</v>
      </c>
      <c r="AE63" s="60">
        <v>-34602</v>
      </c>
      <c r="AF63" s="60">
        <v>96273</v>
      </c>
      <c r="AG63" s="60">
        <v>61671</v>
      </c>
      <c r="AH63" s="61">
        <f>AE63/AD63*100</f>
        <v>97.97270513619118</v>
      </c>
      <c r="AI63" s="60">
        <v>-33196</v>
      </c>
      <c r="AJ63" s="61">
        <f>AE63/AI63*100</f>
        <v>104.23545005422341</v>
      </c>
      <c r="AK63" s="61">
        <f>AE63/Z63*100</f>
        <v>-56.107408668580049</v>
      </c>
      <c r="AO63" s="45"/>
      <c r="AQ63" s="56"/>
    </row>
    <row r="64" spans="1:43">
      <c r="A64" s="64">
        <v>202404</v>
      </c>
      <c r="B64" s="64" t="s">
        <v>296</v>
      </c>
      <c r="C64" s="64" t="s">
        <v>194</v>
      </c>
      <c r="D64" s="64" t="s">
        <v>253</v>
      </c>
      <c r="E64" s="64" t="s">
        <v>82</v>
      </c>
      <c r="F64" s="64">
        <v>90</v>
      </c>
      <c r="G64" s="64" t="s">
        <v>161</v>
      </c>
      <c r="H64" s="64">
        <v>41</v>
      </c>
      <c r="I64" s="64" t="s">
        <v>156</v>
      </c>
      <c r="J64" s="64" t="s">
        <v>157</v>
      </c>
      <c r="K64" s="64" t="s">
        <v>158</v>
      </c>
      <c r="L64" s="64"/>
      <c r="M64" s="64"/>
      <c r="N64" s="64"/>
      <c r="O64" s="64"/>
      <c r="P64" s="64"/>
      <c r="Q64" s="64"/>
      <c r="R64" s="64"/>
      <c r="S64" s="64"/>
      <c r="T64" s="64"/>
      <c r="U64" s="64"/>
      <c r="V64" s="64">
        <v>1</v>
      </c>
      <c r="W64" s="64"/>
      <c r="X64" s="64" t="s">
        <v>92</v>
      </c>
      <c r="Y64" s="64">
        <f>SUM(Y63)</f>
        <v>61400</v>
      </c>
      <c r="Z64" s="64">
        <f>SUM(Z63)</f>
        <v>61671</v>
      </c>
      <c r="AA64" s="65">
        <f>Z64/Y64*100</f>
        <v>100.4413680781759</v>
      </c>
      <c r="AB64" s="64">
        <f>SUM(AB63)</f>
        <v>60698</v>
      </c>
      <c r="AC64" s="65">
        <f>Z64/AB64*100</f>
        <v>101.6030182213582</v>
      </c>
      <c r="AD64" s="64">
        <f>SUM(AD63)</f>
        <v>-35318</v>
      </c>
      <c r="AE64" s="64">
        <f>SUM(AE63)</f>
        <v>-34602</v>
      </c>
      <c r="AF64" s="64">
        <f>SUM(AF63)</f>
        <v>96273</v>
      </c>
      <c r="AG64" s="64">
        <f>SUM(AG63)</f>
        <v>61671</v>
      </c>
      <c r="AH64" s="65">
        <f>AE64/AD64*100</f>
        <v>97.97270513619118</v>
      </c>
      <c r="AI64" s="64">
        <f>SUM(AI63)</f>
        <v>-33196</v>
      </c>
      <c r="AJ64" s="65">
        <f>AE64/AI64*100</f>
        <v>104.23545005422341</v>
      </c>
      <c r="AK64" s="65">
        <f t="shared" ref="AK64:AK65" si="49">AE64/Z64*100</f>
        <v>-56.107408668580049</v>
      </c>
      <c r="AO64" s="45"/>
      <c r="AQ64" s="56"/>
    </row>
    <row r="65" spans="1:43">
      <c r="A65" s="60">
        <v>202404</v>
      </c>
      <c r="B65" s="60" t="s">
        <v>296</v>
      </c>
      <c r="C65" s="60" t="s">
        <v>194</v>
      </c>
      <c r="D65" s="60" t="s">
        <v>253</v>
      </c>
      <c r="E65" s="60" t="s">
        <v>82</v>
      </c>
      <c r="F65" s="60">
        <v>90</v>
      </c>
      <c r="G65" s="60" t="s">
        <v>161</v>
      </c>
      <c r="H65" s="60">
        <v>41</v>
      </c>
      <c r="I65" s="60" t="s">
        <v>156</v>
      </c>
      <c r="J65" s="60" t="s">
        <v>157</v>
      </c>
      <c r="K65" s="60" t="s">
        <v>158</v>
      </c>
      <c r="L65" s="60"/>
      <c r="M65" s="60"/>
      <c r="N65" s="60"/>
      <c r="O65" s="60"/>
      <c r="P65" s="60"/>
      <c r="Q65" s="60"/>
      <c r="R65" s="60"/>
      <c r="S65" s="60"/>
      <c r="T65" s="60"/>
      <c r="U65" s="60"/>
      <c r="V65" s="60">
        <v>1</v>
      </c>
      <c r="W65" s="60"/>
      <c r="X65" s="60"/>
      <c r="Y65" s="60">
        <f>Y62+Y64</f>
        <v>2094400</v>
      </c>
      <c r="Z65" s="60">
        <f>Z62+Z64</f>
        <v>2442024</v>
      </c>
      <c r="AA65" s="61">
        <f t="shared" ref="AA65" si="50">Z65/Y65*100</f>
        <v>116.5977845683728</v>
      </c>
      <c r="AB65" s="60">
        <f>AB62+AB64</f>
        <v>2438027</v>
      </c>
      <c r="AC65" s="61">
        <f t="shared" ref="AC65" si="51">Z65/AB65*100</f>
        <v>100.16394404163695</v>
      </c>
      <c r="AD65" s="60">
        <f>AD62+AD64</f>
        <v>30682</v>
      </c>
      <c r="AE65" s="60">
        <f>AE62+AE64</f>
        <v>44462</v>
      </c>
      <c r="AF65" s="60">
        <f>AF62+AF64</f>
        <v>125392</v>
      </c>
      <c r="AG65" s="60">
        <f>AG62+AG64</f>
        <v>169854</v>
      </c>
      <c r="AH65" s="61">
        <f t="shared" ref="AH65" si="52">AE65/AD65*100</f>
        <v>144.91232644547293</v>
      </c>
      <c r="AI65" s="60">
        <f>AI62+AI64</f>
        <v>46389</v>
      </c>
      <c r="AJ65" s="61">
        <f t="shared" ref="AJ65" si="53">AE65/AI65*100</f>
        <v>95.845997973657546</v>
      </c>
      <c r="AK65" s="61">
        <f t="shared" si="49"/>
        <v>1.8207028268354446</v>
      </c>
      <c r="AO65" s="45"/>
      <c r="AQ65" s="56"/>
    </row>
    <row r="66" spans="1:43" ht="14.4">
      <c r="A66" s="38"/>
      <c r="B66" s="38"/>
      <c r="C66" s="68"/>
      <c r="D66" s="68"/>
      <c r="E66" s="68"/>
      <c r="F66" s="38"/>
      <c r="G66" s="38"/>
      <c r="H66" s="38"/>
      <c r="I66" s="39" t="s">
        <v>93</v>
      </c>
      <c r="J66" s="39"/>
      <c r="K66" s="40"/>
      <c r="L66" s="40"/>
      <c r="M66" s="40"/>
      <c r="N66" s="40"/>
      <c r="O66" s="40"/>
      <c r="P66" s="40"/>
      <c r="Q66" s="40"/>
      <c r="R66" s="40"/>
      <c r="S66" s="40"/>
      <c r="T66" s="40"/>
      <c r="U66" s="40"/>
      <c r="V66" s="40"/>
      <c r="W66" s="41"/>
      <c r="X66" s="40"/>
      <c r="Y66" s="69"/>
      <c r="Z66" s="69"/>
      <c r="AA66" s="69"/>
      <c r="AB66" s="69"/>
      <c r="AC66" s="69"/>
      <c r="AD66" s="69"/>
      <c r="AE66" s="69"/>
      <c r="AF66" s="69"/>
      <c r="AG66" s="69"/>
      <c r="AH66" s="69"/>
      <c r="AI66" s="62"/>
      <c r="AJ66" s="75"/>
      <c r="AK66" s="62"/>
      <c r="AO66" s="45"/>
      <c r="AQ66" s="56"/>
    </row>
    <row r="67" spans="1:43">
      <c r="A67" s="64">
        <v>202404</v>
      </c>
      <c r="B67" s="64" t="s">
        <v>296</v>
      </c>
      <c r="C67" s="63" t="s">
        <v>70</v>
      </c>
      <c r="D67" s="64" t="s">
        <v>254</v>
      </c>
      <c r="E67" s="64" t="s">
        <v>82</v>
      </c>
      <c r="F67" s="64">
        <v>90</v>
      </c>
      <c r="G67" s="64" t="s">
        <v>161</v>
      </c>
      <c r="H67" s="64">
        <v>41</v>
      </c>
      <c r="I67" s="64" t="s">
        <v>156</v>
      </c>
      <c r="J67" s="63" t="s">
        <v>157</v>
      </c>
      <c r="K67" s="64" t="s">
        <v>162</v>
      </c>
      <c r="L67" s="64"/>
      <c r="M67" s="64"/>
      <c r="N67" s="64"/>
      <c r="O67" s="64"/>
      <c r="P67" s="64">
        <v>18</v>
      </c>
      <c r="Q67" s="64" t="s">
        <v>160</v>
      </c>
      <c r="R67" s="64"/>
      <c r="S67" s="64"/>
      <c r="T67" s="64" t="s">
        <v>150</v>
      </c>
      <c r="U67" s="64" t="s">
        <v>151</v>
      </c>
      <c r="V67" s="64">
        <v>0</v>
      </c>
      <c r="W67" s="64">
        <v>940000</v>
      </c>
      <c r="X67" s="64" t="s">
        <v>91</v>
      </c>
      <c r="Y67" s="64">
        <v>1250000</v>
      </c>
      <c r="Z67" s="64">
        <v>1547635</v>
      </c>
      <c r="AA67" s="65">
        <f>Z67/Y67*100</f>
        <v>123.8108</v>
      </c>
      <c r="AB67" s="64">
        <v>1541023</v>
      </c>
      <c r="AC67" s="65">
        <f>Z67/AB67*100</f>
        <v>100.42906562718402</v>
      </c>
      <c r="AD67" s="64">
        <v>25000</v>
      </c>
      <c r="AE67" s="64">
        <v>45704</v>
      </c>
      <c r="AF67" s="64">
        <v>18310</v>
      </c>
      <c r="AG67" s="64">
        <v>64014</v>
      </c>
      <c r="AH67" s="65">
        <f>AE67/AD67*100</f>
        <v>182.816</v>
      </c>
      <c r="AI67" s="64">
        <v>39837</v>
      </c>
      <c r="AJ67" s="65">
        <f>AE67/AI67*100</f>
        <v>114.727514622085</v>
      </c>
      <c r="AK67" s="65">
        <f t="shared" ref="AK67:AK68" si="54">AE67/Z67*100</f>
        <v>2.9531510982886795</v>
      </c>
      <c r="AO67" s="45"/>
      <c r="AQ67" s="56"/>
    </row>
    <row r="68" spans="1:43">
      <c r="A68" s="60">
        <v>202404</v>
      </c>
      <c r="B68" s="60" t="s">
        <v>296</v>
      </c>
      <c r="C68" s="60" t="s">
        <v>70</v>
      </c>
      <c r="D68" s="60" t="s">
        <v>254</v>
      </c>
      <c r="E68" s="60" t="s">
        <v>82</v>
      </c>
      <c r="F68" s="60">
        <v>90</v>
      </c>
      <c r="G68" s="60" t="s">
        <v>161</v>
      </c>
      <c r="H68" s="60">
        <v>41</v>
      </c>
      <c r="I68" s="60" t="s">
        <v>156</v>
      </c>
      <c r="J68" s="60" t="s">
        <v>157</v>
      </c>
      <c r="K68" s="60" t="s">
        <v>158</v>
      </c>
      <c r="L68" s="60"/>
      <c r="M68" s="60"/>
      <c r="N68" s="60"/>
      <c r="O68" s="60"/>
      <c r="P68" s="60">
        <v>18</v>
      </c>
      <c r="Q68" s="60" t="s">
        <v>160</v>
      </c>
      <c r="R68" s="60"/>
      <c r="S68" s="60"/>
      <c r="T68" s="60" t="s">
        <v>152</v>
      </c>
      <c r="U68" s="60" t="s">
        <v>153</v>
      </c>
      <c r="V68" s="60">
        <v>0</v>
      </c>
      <c r="W68" s="60">
        <v>940000</v>
      </c>
      <c r="X68" s="60" t="s">
        <v>91</v>
      </c>
      <c r="Y68" s="60">
        <v>783000</v>
      </c>
      <c r="Z68" s="60">
        <v>832718</v>
      </c>
      <c r="AA68" s="61">
        <f>Z68/Y68*100</f>
        <v>106.34968071519795</v>
      </c>
      <c r="AB68" s="60">
        <v>836306</v>
      </c>
      <c r="AC68" s="60">
        <v>99.6</v>
      </c>
      <c r="AD68" s="60">
        <v>41000</v>
      </c>
      <c r="AE68" s="60">
        <v>33360</v>
      </c>
      <c r="AF68" s="60">
        <v>10809</v>
      </c>
      <c r="AG68" s="60">
        <v>44169</v>
      </c>
      <c r="AH68" s="61">
        <f>AE68/AD68*100</f>
        <v>81.365853658536579</v>
      </c>
      <c r="AI68" s="60">
        <v>39748</v>
      </c>
      <c r="AJ68" s="61">
        <f>AE68/AI68*100</f>
        <v>83.928751132132433</v>
      </c>
      <c r="AK68" s="61">
        <f t="shared" si="54"/>
        <v>4.0061581471758752</v>
      </c>
      <c r="AO68" s="45"/>
      <c r="AQ68" s="56"/>
    </row>
    <row r="69" spans="1:43">
      <c r="A69" s="64">
        <v>202404</v>
      </c>
      <c r="B69" s="64" t="s">
        <v>296</v>
      </c>
      <c r="C69" s="64" t="s">
        <v>70</v>
      </c>
      <c r="D69" s="64" t="s">
        <v>254</v>
      </c>
      <c r="E69" s="64" t="s">
        <v>82</v>
      </c>
      <c r="F69" s="64">
        <v>90</v>
      </c>
      <c r="G69" s="64" t="s">
        <v>161</v>
      </c>
      <c r="H69" s="64">
        <v>41</v>
      </c>
      <c r="I69" s="64" t="s">
        <v>156</v>
      </c>
      <c r="J69" s="64" t="s">
        <v>157</v>
      </c>
      <c r="K69" s="64" t="s">
        <v>158</v>
      </c>
      <c r="L69" s="64"/>
      <c r="M69" s="64"/>
      <c r="N69" s="64"/>
      <c r="O69" s="64"/>
      <c r="P69" s="64">
        <v>18</v>
      </c>
      <c r="Q69" s="64" t="s">
        <v>160</v>
      </c>
      <c r="R69" s="64"/>
      <c r="S69" s="64"/>
      <c r="T69" s="64"/>
      <c r="U69" s="64"/>
      <c r="V69" s="64">
        <v>1</v>
      </c>
      <c r="W69" s="64"/>
      <c r="X69" s="64" t="s">
        <v>91</v>
      </c>
      <c r="Y69" s="64">
        <f>SUM(Y67:Y68)</f>
        <v>2033000</v>
      </c>
      <c r="Z69" s="64">
        <f>SUM(Z67:Z68)</f>
        <v>2380353</v>
      </c>
      <c r="AA69" s="65">
        <f>Z69/Y69*100</f>
        <v>117.08573536645352</v>
      </c>
      <c r="AB69" s="64">
        <f>SUM(AB67:AB68)</f>
        <v>2377329</v>
      </c>
      <c r="AC69" s="65">
        <f>Z69/AB69*100</f>
        <v>100.12720157790528</v>
      </c>
      <c r="AD69" s="64">
        <f>SUM(AD67:AD68)</f>
        <v>66000</v>
      </c>
      <c r="AE69" s="64">
        <f t="shared" ref="AE69:AG69" si="55">SUM(AE67:AE68)</f>
        <v>79064</v>
      </c>
      <c r="AF69" s="64">
        <f t="shared" si="55"/>
        <v>29119</v>
      </c>
      <c r="AG69" s="64">
        <f t="shared" si="55"/>
        <v>108183</v>
      </c>
      <c r="AH69" s="65">
        <f>AE69/AD69*100</f>
        <v>119.79393939393938</v>
      </c>
      <c r="AI69" s="64">
        <f t="shared" ref="AI69" si="56">SUM(AI67:AI68)</f>
        <v>79585</v>
      </c>
      <c r="AJ69" s="65">
        <f>AE69/AI69*100</f>
        <v>99.345354023999505</v>
      </c>
      <c r="AK69" s="65">
        <f>AE69/Z69*100</f>
        <v>3.3215241604921628</v>
      </c>
      <c r="AO69" s="45"/>
      <c r="AQ69" s="56"/>
    </row>
    <row r="70" spans="1:43">
      <c r="A70" s="60">
        <v>202404</v>
      </c>
      <c r="B70" s="60" t="s">
        <v>296</v>
      </c>
      <c r="C70" s="60" t="s">
        <v>70</v>
      </c>
      <c r="D70" s="60" t="s">
        <v>254</v>
      </c>
      <c r="E70" s="60" t="s">
        <v>82</v>
      </c>
      <c r="F70" s="60">
        <v>90</v>
      </c>
      <c r="G70" s="60" t="s">
        <v>161</v>
      </c>
      <c r="H70" s="60">
        <v>41</v>
      </c>
      <c r="I70" s="60" t="s">
        <v>156</v>
      </c>
      <c r="J70" s="60" t="s">
        <v>157</v>
      </c>
      <c r="K70" s="60" t="s">
        <v>158</v>
      </c>
      <c r="L70" s="60"/>
      <c r="M70" s="60"/>
      <c r="N70" s="60"/>
      <c r="O70" s="60"/>
      <c r="P70" s="60">
        <v>18</v>
      </c>
      <c r="Q70" s="60" t="s">
        <v>160</v>
      </c>
      <c r="R70" s="60">
        <v>5614</v>
      </c>
      <c r="S70" s="60" t="s">
        <v>155</v>
      </c>
      <c r="T70" s="60"/>
      <c r="U70" s="60"/>
      <c r="V70" s="60">
        <v>0</v>
      </c>
      <c r="W70" s="60">
        <v>941000</v>
      </c>
      <c r="X70" s="60" t="s">
        <v>92</v>
      </c>
      <c r="Y70" s="60">
        <v>61400</v>
      </c>
      <c r="Z70" s="60">
        <v>61671</v>
      </c>
      <c r="AA70" s="61">
        <f>Z70/Y70*100</f>
        <v>100.4413680781759</v>
      </c>
      <c r="AB70" s="60">
        <v>60698</v>
      </c>
      <c r="AC70" s="61">
        <f>Z70/AB70*100</f>
        <v>101.6030182213582</v>
      </c>
      <c r="AD70" s="60">
        <v>-35318</v>
      </c>
      <c r="AE70" s="60">
        <v>-34602</v>
      </c>
      <c r="AF70" s="60">
        <v>96273</v>
      </c>
      <c r="AG70" s="60">
        <v>61671</v>
      </c>
      <c r="AH70" s="61">
        <f>AE70/AD70*100</f>
        <v>97.97270513619118</v>
      </c>
      <c r="AI70" s="60">
        <v>-33196</v>
      </c>
      <c r="AJ70" s="61">
        <f>AE70/AI70*100</f>
        <v>104.23545005422341</v>
      </c>
      <c r="AK70" s="61">
        <f>AE70/Z70*100</f>
        <v>-56.107408668580049</v>
      </c>
      <c r="AO70" s="45"/>
      <c r="AQ70" s="56"/>
    </row>
    <row r="71" spans="1:43">
      <c r="A71" s="64">
        <v>202404</v>
      </c>
      <c r="B71" s="64" t="s">
        <v>296</v>
      </c>
      <c r="C71" s="64" t="s">
        <v>70</v>
      </c>
      <c r="D71" s="64" t="s">
        <v>254</v>
      </c>
      <c r="E71" s="64" t="s">
        <v>82</v>
      </c>
      <c r="F71" s="64">
        <v>90</v>
      </c>
      <c r="G71" s="64" t="s">
        <v>161</v>
      </c>
      <c r="H71" s="64">
        <v>41</v>
      </c>
      <c r="I71" s="64" t="s">
        <v>156</v>
      </c>
      <c r="J71" s="64" t="s">
        <v>157</v>
      </c>
      <c r="K71" s="64" t="s">
        <v>158</v>
      </c>
      <c r="L71" s="64"/>
      <c r="M71" s="64"/>
      <c r="N71" s="64"/>
      <c r="O71" s="64"/>
      <c r="P71" s="64">
        <v>18</v>
      </c>
      <c r="Q71" s="64" t="s">
        <v>160</v>
      </c>
      <c r="R71" s="64"/>
      <c r="S71" s="64"/>
      <c r="T71" s="64"/>
      <c r="U71" s="64"/>
      <c r="V71" s="64">
        <v>1</v>
      </c>
      <c r="W71" s="64"/>
      <c r="X71" s="64" t="s">
        <v>92</v>
      </c>
      <c r="Y71" s="64">
        <f>SUM(Y70)</f>
        <v>61400</v>
      </c>
      <c r="Z71" s="64">
        <f>SUM(Z70)</f>
        <v>61671</v>
      </c>
      <c r="AA71" s="65">
        <f>Z71/Y71*100</f>
        <v>100.4413680781759</v>
      </c>
      <c r="AB71" s="64">
        <f>SUM(AB70)</f>
        <v>60698</v>
      </c>
      <c r="AC71" s="65">
        <f>Z71/AB71*100</f>
        <v>101.6030182213582</v>
      </c>
      <c r="AD71" s="64">
        <f>SUM(AD70)</f>
        <v>-35318</v>
      </c>
      <c r="AE71" s="64">
        <f>SUM(AE70)</f>
        <v>-34602</v>
      </c>
      <c r="AF71" s="64">
        <f>SUM(AF70)</f>
        <v>96273</v>
      </c>
      <c r="AG71" s="64">
        <f>SUM(AG70)</f>
        <v>61671</v>
      </c>
      <c r="AH71" s="65">
        <f>AE71/AD71*100</f>
        <v>97.97270513619118</v>
      </c>
      <c r="AI71" s="64">
        <f>SUM(AI70)</f>
        <v>-33196</v>
      </c>
      <c r="AJ71" s="65">
        <f>AE71/AI71*100</f>
        <v>104.23545005422341</v>
      </c>
      <c r="AK71" s="65">
        <f t="shared" ref="AK71:AK72" si="57">AE71/Z71*100</f>
        <v>-56.107408668580049</v>
      </c>
      <c r="AO71" s="45"/>
      <c r="AQ71" s="56"/>
    </row>
    <row r="72" spans="1:43">
      <c r="A72" s="60">
        <v>202404</v>
      </c>
      <c r="B72" s="60" t="s">
        <v>296</v>
      </c>
      <c r="C72" s="60" t="s">
        <v>70</v>
      </c>
      <c r="D72" s="60" t="s">
        <v>254</v>
      </c>
      <c r="E72" s="60" t="s">
        <v>82</v>
      </c>
      <c r="F72" s="60">
        <v>90</v>
      </c>
      <c r="G72" s="60" t="s">
        <v>161</v>
      </c>
      <c r="H72" s="60">
        <v>41</v>
      </c>
      <c r="I72" s="60" t="s">
        <v>156</v>
      </c>
      <c r="J72" s="60" t="s">
        <v>157</v>
      </c>
      <c r="K72" s="60" t="s">
        <v>158</v>
      </c>
      <c r="L72" s="60"/>
      <c r="M72" s="60"/>
      <c r="N72" s="60"/>
      <c r="O72" s="60"/>
      <c r="P72" s="60">
        <v>18</v>
      </c>
      <c r="Q72" s="60" t="s">
        <v>160</v>
      </c>
      <c r="R72" s="60"/>
      <c r="S72" s="60"/>
      <c r="T72" s="60"/>
      <c r="U72" s="60"/>
      <c r="V72" s="60">
        <v>1</v>
      </c>
      <c r="W72" s="60"/>
      <c r="X72" s="60"/>
      <c r="Y72" s="60">
        <f>Y69+Y71</f>
        <v>2094400</v>
      </c>
      <c r="Z72" s="60">
        <f>Z69+Z71</f>
        <v>2442024</v>
      </c>
      <c r="AA72" s="61">
        <f t="shared" ref="AA72" si="58">Z72/Y72*100</f>
        <v>116.5977845683728</v>
      </c>
      <c r="AB72" s="60">
        <f>AB69+AB71</f>
        <v>2438027</v>
      </c>
      <c r="AC72" s="61">
        <f t="shared" ref="AC72" si="59">Z72/AB72*100</f>
        <v>100.16394404163695</v>
      </c>
      <c r="AD72" s="60">
        <f>AD69+AD71</f>
        <v>30682</v>
      </c>
      <c r="AE72" s="60">
        <f>AE69+AE71</f>
        <v>44462</v>
      </c>
      <c r="AF72" s="60">
        <f>AF69+AF71</f>
        <v>125392</v>
      </c>
      <c r="AG72" s="60">
        <f>AG69+AG71</f>
        <v>169854</v>
      </c>
      <c r="AH72" s="61">
        <f t="shared" ref="AH72" si="60">AE72/AD72*100</f>
        <v>144.91232644547293</v>
      </c>
      <c r="AI72" s="60">
        <f>AI69+AI71</f>
        <v>46389</v>
      </c>
      <c r="AJ72" s="61">
        <f t="shared" ref="AJ72" si="61">AE72/AI72*100</f>
        <v>95.845997973657546</v>
      </c>
      <c r="AK72" s="61">
        <f t="shared" si="57"/>
        <v>1.8207028268354446</v>
      </c>
      <c r="AO72" s="45"/>
      <c r="AQ72" s="56"/>
    </row>
    <row r="80" spans="1:43" s="45" customFormat="1" ht="39.6">
      <c r="A80" s="35" t="s">
        <v>125</v>
      </c>
      <c r="B80" s="35" t="s">
        <v>126</v>
      </c>
      <c r="C80" s="36" t="s">
        <v>192</v>
      </c>
      <c r="D80" s="36" t="s">
        <v>193</v>
      </c>
      <c r="E80" s="36" t="s">
        <v>127</v>
      </c>
      <c r="F80" s="35" t="s">
        <v>53</v>
      </c>
      <c r="G80" s="35" t="s">
        <v>128</v>
      </c>
      <c r="H80" s="37" t="s">
        <v>129</v>
      </c>
      <c r="I80" s="37" t="s">
        <v>130</v>
      </c>
      <c r="J80" s="37" t="s">
        <v>131</v>
      </c>
      <c r="K80" s="37" t="s">
        <v>132</v>
      </c>
      <c r="L80" s="37" t="s">
        <v>166</v>
      </c>
      <c r="M80" s="37" t="s">
        <v>167</v>
      </c>
      <c r="N80" s="37" t="s">
        <v>270</v>
      </c>
      <c r="O80" s="37" t="s">
        <v>271</v>
      </c>
      <c r="P80" s="37" t="s">
        <v>285</v>
      </c>
      <c r="Q80" s="37" t="s">
        <v>291</v>
      </c>
      <c r="R80" s="37" t="s">
        <v>200</v>
      </c>
      <c r="S80" s="37" t="s">
        <v>201</v>
      </c>
      <c r="T80" s="37" t="s">
        <v>99</v>
      </c>
      <c r="U80" s="37" t="s">
        <v>101</v>
      </c>
      <c r="V80" s="37" t="s">
        <v>135</v>
      </c>
      <c r="W80" s="37" t="s">
        <v>136</v>
      </c>
      <c r="X80" s="37" t="s">
        <v>137</v>
      </c>
      <c r="Y80" s="37" t="s">
        <v>138</v>
      </c>
      <c r="Z80" s="37" t="s">
        <v>139</v>
      </c>
      <c r="AA80" s="37" t="s">
        <v>140</v>
      </c>
      <c r="AB80" s="37" t="s">
        <v>141</v>
      </c>
      <c r="AC80" s="37" t="s">
        <v>142</v>
      </c>
      <c r="AD80" s="37" t="s">
        <v>143</v>
      </c>
      <c r="AE80" s="37" t="s">
        <v>144</v>
      </c>
      <c r="AF80" s="37" t="s">
        <v>145</v>
      </c>
      <c r="AG80" s="37" t="s">
        <v>146</v>
      </c>
      <c r="AH80" s="37" t="s">
        <v>147</v>
      </c>
      <c r="AI80" s="57" t="s">
        <v>148</v>
      </c>
      <c r="AJ80" s="57" t="s">
        <v>149</v>
      </c>
      <c r="AK80" s="57" t="s">
        <v>104</v>
      </c>
      <c r="AL80" s="56"/>
      <c r="AM80" s="56"/>
      <c r="AN80" s="56"/>
    </row>
    <row r="81" spans="1:43" s="62" customFormat="1">
      <c r="A81" s="64">
        <v>202404</v>
      </c>
      <c r="B81" s="64" t="s">
        <v>296</v>
      </c>
      <c r="C81" s="63" t="s">
        <v>196</v>
      </c>
      <c r="D81" s="64" t="s">
        <v>254</v>
      </c>
      <c r="E81" s="64" t="s">
        <v>82</v>
      </c>
      <c r="F81" s="64"/>
      <c r="G81" s="64"/>
      <c r="H81" s="64">
        <v>41</v>
      </c>
      <c r="I81" s="64" t="s">
        <v>156</v>
      </c>
      <c r="J81" s="63" t="s">
        <v>157</v>
      </c>
      <c r="K81" s="64" t="s">
        <v>162</v>
      </c>
      <c r="L81" s="64"/>
      <c r="M81" s="64"/>
      <c r="N81" s="64"/>
      <c r="O81" s="64"/>
      <c r="P81" s="64">
        <v>18</v>
      </c>
      <c r="Q81" s="64" t="s">
        <v>163</v>
      </c>
      <c r="R81" s="64"/>
      <c r="S81" s="64"/>
      <c r="T81" s="64" t="s">
        <v>150</v>
      </c>
      <c r="U81" s="64" t="s">
        <v>151</v>
      </c>
      <c r="V81" s="64">
        <v>0</v>
      </c>
      <c r="W81" s="64">
        <v>940000</v>
      </c>
      <c r="X81" s="64" t="s">
        <v>91</v>
      </c>
      <c r="Y81" s="64">
        <v>1250000</v>
      </c>
      <c r="Z81" s="64">
        <v>1547635</v>
      </c>
      <c r="AA81" s="65">
        <f>Z81/Y81*100</f>
        <v>123.8108</v>
      </c>
      <c r="AB81" s="64">
        <v>1541023</v>
      </c>
      <c r="AC81" s="65">
        <f>Z81/AB81*100</f>
        <v>100.42906562718402</v>
      </c>
      <c r="AD81" s="64">
        <v>25000</v>
      </c>
      <c r="AE81" s="64">
        <v>45704</v>
      </c>
      <c r="AF81" s="64">
        <v>18310</v>
      </c>
      <c r="AG81" s="64">
        <v>64014</v>
      </c>
      <c r="AH81" s="65">
        <f>AE81/AD81*100</f>
        <v>182.816</v>
      </c>
      <c r="AI81" s="64">
        <v>39837</v>
      </c>
      <c r="AJ81" s="65">
        <f>AE81/AI81*100</f>
        <v>114.727514622085</v>
      </c>
      <c r="AK81" s="65">
        <f t="shared" ref="AK81:AK82" si="62">AE81/Z81*100</f>
        <v>2.9531510982886795</v>
      </c>
    </row>
    <row r="82" spans="1:43" s="62" customFormat="1">
      <c r="A82" s="60">
        <v>202404</v>
      </c>
      <c r="B82" s="60" t="s">
        <v>296</v>
      </c>
      <c r="C82" s="60" t="s">
        <v>70</v>
      </c>
      <c r="D82" s="60" t="s">
        <v>254</v>
      </c>
      <c r="E82" s="60" t="s">
        <v>82</v>
      </c>
      <c r="F82" s="60"/>
      <c r="G82" s="60"/>
      <c r="H82" s="60">
        <v>41</v>
      </c>
      <c r="I82" s="60" t="s">
        <v>156</v>
      </c>
      <c r="J82" s="60" t="s">
        <v>157</v>
      </c>
      <c r="K82" s="60" t="s">
        <v>158</v>
      </c>
      <c r="L82" s="60"/>
      <c r="M82" s="60"/>
      <c r="N82" s="60"/>
      <c r="O82" s="60"/>
      <c r="P82" s="60">
        <v>18</v>
      </c>
      <c r="Q82" s="60" t="s">
        <v>160</v>
      </c>
      <c r="R82" s="60"/>
      <c r="S82" s="60"/>
      <c r="T82" s="60" t="s">
        <v>152</v>
      </c>
      <c r="U82" s="60" t="s">
        <v>153</v>
      </c>
      <c r="V82" s="60">
        <v>0</v>
      </c>
      <c r="W82" s="60">
        <v>940000</v>
      </c>
      <c r="X82" s="60" t="s">
        <v>91</v>
      </c>
      <c r="Y82" s="60">
        <v>783000</v>
      </c>
      <c r="Z82" s="60">
        <v>832718</v>
      </c>
      <c r="AA82" s="61">
        <f>Z82/Y82*100</f>
        <v>106.34968071519795</v>
      </c>
      <c r="AB82" s="60">
        <v>836306</v>
      </c>
      <c r="AC82" s="60">
        <v>99.6</v>
      </c>
      <c r="AD82" s="60">
        <v>41000</v>
      </c>
      <c r="AE82" s="60">
        <v>33360</v>
      </c>
      <c r="AF82" s="60">
        <v>10809</v>
      </c>
      <c r="AG82" s="60">
        <v>44169</v>
      </c>
      <c r="AH82" s="61">
        <f>AE82/AD82*100</f>
        <v>81.365853658536579</v>
      </c>
      <c r="AI82" s="60">
        <v>39748</v>
      </c>
      <c r="AJ82" s="61">
        <f>AE82/AI82*100</f>
        <v>83.928751132132433</v>
      </c>
      <c r="AK82" s="61">
        <f t="shared" si="62"/>
        <v>4.0061581471758752</v>
      </c>
    </row>
    <row r="83" spans="1:43" s="62" customFormat="1">
      <c r="A83" s="64">
        <v>202404</v>
      </c>
      <c r="B83" s="64" t="s">
        <v>296</v>
      </c>
      <c r="C83" s="64" t="s">
        <v>70</v>
      </c>
      <c r="D83" s="64" t="s">
        <v>254</v>
      </c>
      <c r="E83" s="64" t="s">
        <v>82</v>
      </c>
      <c r="F83" s="64"/>
      <c r="G83" s="64"/>
      <c r="H83" s="64">
        <v>41</v>
      </c>
      <c r="I83" s="64" t="s">
        <v>156</v>
      </c>
      <c r="J83" s="64" t="s">
        <v>157</v>
      </c>
      <c r="K83" s="64" t="s">
        <v>158</v>
      </c>
      <c r="L83" s="64"/>
      <c r="M83" s="64"/>
      <c r="N83" s="64"/>
      <c r="O83" s="64"/>
      <c r="P83" s="64">
        <v>18</v>
      </c>
      <c r="Q83" s="64" t="s">
        <v>160</v>
      </c>
      <c r="R83" s="64"/>
      <c r="S83" s="64"/>
      <c r="T83" s="64"/>
      <c r="U83" s="64"/>
      <c r="V83" s="64">
        <v>1</v>
      </c>
      <c r="W83" s="64"/>
      <c r="X83" s="64" t="s">
        <v>91</v>
      </c>
      <c r="Y83" s="64">
        <f>SUM(Y81:Y82)</f>
        <v>2033000</v>
      </c>
      <c r="Z83" s="64">
        <f>SUM(Z81:Z82)</f>
        <v>2380353</v>
      </c>
      <c r="AA83" s="65">
        <f>Z83/Y83*100</f>
        <v>117.08573536645352</v>
      </c>
      <c r="AB83" s="64">
        <f>SUM(AB81:AB82)</f>
        <v>2377329</v>
      </c>
      <c r="AC83" s="65">
        <f>Z83/AB83*100</f>
        <v>100.12720157790528</v>
      </c>
      <c r="AD83" s="64">
        <f>SUM(AD81:AD82)</f>
        <v>66000</v>
      </c>
      <c r="AE83" s="64">
        <f t="shared" ref="AE83:AG83" si="63">SUM(AE81:AE82)</f>
        <v>79064</v>
      </c>
      <c r="AF83" s="64">
        <f t="shared" si="63"/>
        <v>29119</v>
      </c>
      <c r="AG83" s="64">
        <f t="shared" si="63"/>
        <v>108183</v>
      </c>
      <c r="AH83" s="65">
        <f>AE83/AD83*100</f>
        <v>119.79393939393938</v>
      </c>
      <c r="AI83" s="64">
        <f t="shared" ref="AI83" si="64">SUM(AI81:AI82)</f>
        <v>79585</v>
      </c>
      <c r="AJ83" s="65">
        <f>AE83/AI83*100</f>
        <v>99.345354023999505</v>
      </c>
      <c r="AK83" s="65">
        <f>AE83/Z83*100</f>
        <v>3.3215241604921628</v>
      </c>
    </row>
    <row r="84" spans="1:43" s="62" customFormat="1">
      <c r="A84" s="60">
        <v>202404</v>
      </c>
      <c r="B84" s="60" t="s">
        <v>296</v>
      </c>
      <c r="C84" s="60" t="s">
        <v>70</v>
      </c>
      <c r="D84" s="60" t="s">
        <v>254</v>
      </c>
      <c r="E84" s="60" t="s">
        <v>82</v>
      </c>
      <c r="F84" s="60"/>
      <c r="G84" s="60"/>
      <c r="H84" s="60">
        <v>41</v>
      </c>
      <c r="I84" s="60" t="s">
        <v>156</v>
      </c>
      <c r="J84" s="60" t="s">
        <v>157</v>
      </c>
      <c r="K84" s="60" t="s">
        <v>158</v>
      </c>
      <c r="L84" s="60"/>
      <c r="M84" s="60"/>
      <c r="N84" s="60"/>
      <c r="O84" s="60"/>
      <c r="P84" s="60">
        <v>18</v>
      </c>
      <c r="Q84" s="60" t="s">
        <v>160</v>
      </c>
      <c r="R84" s="60">
        <v>5614</v>
      </c>
      <c r="S84" s="60" t="s">
        <v>155</v>
      </c>
      <c r="T84" s="60"/>
      <c r="U84" s="60"/>
      <c r="V84" s="60">
        <v>0</v>
      </c>
      <c r="W84" s="60">
        <v>941000</v>
      </c>
      <c r="X84" s="60" t="s">
        <v>92</v>
      </c>
      <c r="Y84" s="60">
        <v>61400</v>
      </c>
      <c r="Z84" s="60">
        <v>61671</v>
      </c>
      <c r="AA84" s="61">
        <f>Z84/Y84*100</f>
        <v>100.4413680781759</v>
      </c>
      <c r="AB84" s="60">
        <v>60698</v>
      </c>
      <c r="AC84" s="61">
        <f>Z84/AB84*100</f>
        <v>101.6030182213582</v>
      </c>
      <c r="AD84" s="60">
        <v>-35318</v>
      </c>
      <c r="AE84" s="60">
        <v>-34602</v>
      </c>
      <c r="AF84" s="60">
        <v>96273</v>
      </c>
      <c r="AG84" s="60">
        <v>61671</v>
      </c>
      <c r="AH84" s="61">
        <f>AE84/AD84*100</f>
        <v>97.97270513619118</v>
      </c>
      <c r="AI84" s="60">
        <v>-33196</v>
      </c>
      <c r="AJ84" s="61">
        <f>AE84/AI84*100</f>
        <v>104.23545005422341</v>
      </c>
      <c r="AK84" s="61">
        <f>AE84/Z84*100</f>
        <v>-56.107408668580049</v>
      </c>
    </row>
    <row r="85" spans="1:43" s="62" customFormat="1">
      <c r="A85" s="64">
        <v>202404</v>
      </c>
      <c r="B85" s="64" t="s">
        <v>296</v>
      </c>
      <c r="C85" s="64" t="s">
        <v>70</v>
      </c>
      <c r="D85" s="64" t="s">
        <v>254</v>
      </c>
      <c r="E85" s="64" t="s">
        <v>82</v>
      </c>
      <c r="F85" s="64"/>
      <c r="G85" s="64"/>
      <c r="H85" s="64">
        <v>41</v>
      </c>
      <c r="I85" s="64" t="s">
        <v>156</v>
      </c>
      <c r="J85" s="64" t="s">
        <v>157</v>
      </c>
      <c r="K85" s="64" t="s">
        <v>158</v>
      </c>
      <c r="L85" s="64"/>
      <c r="M85" s="64"/>
      <c r="N85" s="64"/>
      <c r="O85" s="64"/>
      <c r="P85" s="64">
        <v>18</v>
      </c>
      <c r="Q85" s="64" t="s">
        <v>160</v>
      </c>
      <c r="R85" s="64"/>
      <c r="S85" s="64"/>
      <c r="T85" s="64"/>
      <c r="U85" s="64"/>
      <c r="V85" s="64">
        <v>1</v>
      </c>
      <c r="W85" s="64"/>
      <c r="X85" s="64" t="s">
        <v>92</v>
      </c>
      <c r="Y85" s="64">
        <f>SUM(Y84)</f>
        <v>61400</v>
      </c>
      <c r="Z85" s="64">
        <f>SUM(Z84)</f>
        <v>61671</v>
      </c>
      <c r="AA85" s="65">
        <f>Z85/Y85*100</f>
        <v>100.4413680781759</v>
      </c>
      <c r="AB85" s="64">
        <f>SUM(AB84)</f>
        <v>60698</v>
      </c>
      <c r="AC85" s="65">
        <f>Z85/AB85*100</f>
        <v>101.6030182213582</v>
      </c>
      <c r="AD85" s="64">
        <f>SUM(AD84)</f>
        <v>-35318</v>
      </c>
      <c r="AE85" s="64">
        <f>SUM(AE84)</f>
        <v>-34602</v>
      </c>
      <c r="AF85" s="64">
        <f>SUM(AF84)</f>
        <v>96273</v>
      </c>
      <c r="AG85" s="64">
        <f>SUM(AG84)</f>
        <v>61671</v>
      </c>
      <c r="AH85" s="65">
        <f>AE85/AD85*100</f>
        <v>97.97270513619118</v>
      </c>
      <c r="AI85" s="64">
        <f>SUM(AI84)</f>
        <v>-33196</v>
      </c>
      <c r="AJ85" s="65">
        <f>AE85/AI85*100</f>
        <v>104.23545005422341</v>
      </c>
      <c r="AK85" s="65">
        <f t="shared" ref="AK85:AK86" si="65">AE85/Z85*100</f>
        <v>-56.107408668580049</v>
      </c>
    </row>
    <row r="86" spans="1:43" s="62" customFormat="1">
      <c r="A86" s="60">
        <v>202404</v>
      </c>
      <c r="B86" s="60" t="s">
        <v>296</v>
      </c>
      <c r="C86" s="60" t="s">
        <v>70</v>
      </c>
      <c r="D86" s="60" t="s">
        <v>254</v>
      </c>
      <c r="E86" s="60" t="s">
        <v>82</v>
      </c>
      <c r="F86" s="60"/>
      <c r="G86" s="60"/>
      <c r="H86" s="60">
        <v>41</v>
      </c>
      <c r="I86" s="60" t="s">
        <v>156</v>
      </c>
      <c r="J86" s="60" t="s">
        <v>157</v>
      </c>
      <c r="K86" s="60" t="s">
        <v>158</v>
      </c>
      <c r="L86" s="60"/>
      <c r="M86" s="60"/>
      <c r="N86" s="60"/>
      <c r="O86" s="60"/>
      <c r="P86" s="60">
        <v>18</v>
      </c>
      <c r="Q86" s="60" t="s">
        <v>160</v>
      </c>
      <c r="R86" s="60"/>
      <c r="S86" s="60"/>
      <c r="T86" s="60"/>
      <c r="U86" s="60"/>
      <c r="V86" s="60">
        <v>1</v>
      </c>
      <c r="W86" s="60"/>
      <c r="X86" s="60"/>
      <c r="Y86" s="60">
        <f>Y83+Y85</f>
        <v>2094400</v>
      </c>
      <c r="Z86" s="60">
        <f>Z83+Z85</f>
        <v>2442024</v>
      </c>
      <c r="AA86" s="61">
        <f t="shared" ref="AA86" si="66">Z86/Y86*100</f>
        <v>116.5977845683728</v>
      </c>
      <c r="AB86" s="60">
        <f>AB83+AB85</f>
        <v>2438027</v>
      </c>
      <c r="AC86" s="61">
        <f t="shared" ref="AC86" si="67">Z86/AB86*100</f>
        <v>100.16394404163695</v>
      </c>
      <c r="AD86" s="60">
        <f>AD83+AD85</f>
        <v>30682</v>
      </c>
      <c r="AE86" s="60">
        <f>AE83+AE85</f>
        <v>44462</v>
      </c>
      <c r="AF86" s="60">
        <f>AF83+AF85</f>
        <v>125392</v>
      </c>
      <c r="AG86" s="60">
        <f>AG83+AG85</f>
        <v>169854</v>
      </c>
      <c r="AH86" s="61">
        <f t="shared" ref="AH86" si="68">AE86/AD86*100</f>
        <v>144.91232644547293</v>
      </c>
      <c r="AI86" s="60">
        <f>AI83+AI85</f>
        <v>46389</v>
      </c>
      <c r="AJ86" s="61">
        <f t="shared" ref="AJ86" si="69">AE86/AI86*100</f>
        <v>95.845997973657546</v>
      </c>
      <c r="AK86" s="61">
        <f t="shared" si="65"/>
        <v>1.8207028268354446</v>
      </c>
    </row>
    <row r="94" spans="1:43" s="45" customFormat="1" ht="39.6">
      <c r="A94" s="35" t="s">
        <v>125</v>
      </c>
      <c r="B94" s="35" t="s">
        <v>126</v>
      </c>
      <c r="C94" s="36" t="s">
        <v>192</v>
      </c>
      <c r="D94" s="36" t="s">
        <v>193</v>
      </c>
      <c r="E94" s="36" t="s">
        <v>127</v>
      </c>
      <c r="F94" s="35" t="s">
        <v>53</v>
      </c>
      <c r="G94" s="35" t="s">
        <v>128</v>
      </c>
      <c r="H94" s="37" t="s">
        <v>129</v>
      </c>
      <c r="I94" s="37" t="s">
        <v>130</v>
      </c>
      <c r="J94" s="37" t="s">
        <v>131</v>
      </c>
      <c r="K94" s="37" t="s">
        <v>132</v>
      </c>
      <c r="L94" s="37" t="s">
        <v>166</v>
      </c>
      <c r="M94" s="37" t="s">
        <v>167</v>
      </c>
      <c r="N94" s="37" t="s">
        <v>270</v>
      </c>
      <c r="O94" s="37" t="s">
        <v>271</v>
      </c>
      <c r="P94" s="37" t="s">
        <v>285</v>
      </c>
      <c r="Q94" s="37" t="s">
        <v>291</v>
      </c>
      <c r="R94" s="37" t="s">
        <v>200</v>
      </c>
      <c r="S94" s="37" t="s">
        <v>201</v>
      </c>
      <c r="T94" s="37" t="s">
        <v>99</v>
      </c>
      <c r="U94" s="37" t="s">
        <v>101</v>
      </c>
      <c r="V94" s="37" t="s">
        <v>135</v>
      </c>
      <c r="W94" s="37" t="s">
        <v>136</v>
      </c>
      <c r="X94" s="37" t="s">
        <v>137</v>
      </c>
      <c r="Y94" s="37" t="s">
        <v>138</v>
      </c>
      <c r="Z94" s="37" t="s">
        <v>139</v>
      </c>
      <c r="AA94" s="37" t="s">
        <v>140</v>
      </c>
      <c r="AB94" s="37" t="s">
        <v>141</v>
      </c>
      <c r="AC94" s="37" t="s">
        <v>142</v>
      </c>
      <c r="AD94" s="37" t="s">
        <v>143</v>
      </c>
      <c r="AE94" s="37" t="s">
        <v>144</v>
      </c>
      <c r="AF94" s="37" t="s">
        <v>145</v>
      </c>
      <c r="AG94" s="37" t="s">
        <v>146</v>
      </c>
      <c r="AH94" s="37" t="s">
        <v>147</v>
      </c>
      <c r="AI94" s="57" t="s">
        <v>148</v>
      </c>
      <c r="AJ94" s="57" t="s">
        <v>149</v>
      </c>
      <c r="AK94" s="57" t="s">
        <v>104</v>
      </c>
      <c r="AL94" s="56"/>
      <c r="AM94" s="56"/>
      <c r="AN94" s="56"/>
    </row>
    <row r="95" spans="1:43">
      <c r="A95" s="64">
        <v>202404</v>
      </c>
      <c r="B95" s="64" t="s">
        <v>296</v>
      </c>
      <c r="C95" s="63" t="s">
        <v>70</v>
      </c>
      <c r="D95" s="64" t="s">
        <v>254</v>
      </c>
      <c r="E95" s="64" t="s">
        <v>82</v>
      </c>
      <c r="F95" s="64">
        <v>90</v>
      </c>
      <c r="G95" s="64" t="s">
        <v>161</v>
      </c>
      <c r="H95" s="64">
        <v>41</v>
      </c>
      <c r="I95" s="64" t="s">
        <v>156</v>
      </c>
      <c r="J95" s="63" t="s">
        <v>157</v>
      </c>
      <c r="K95" s="64" t="s">
        <v>162</v>
      </c>
      <c r="L95" s="64"/>
      <c r="M95" s="64"/>
      <c r="N95" s="64"/>
      <c r="O95" s="64"/>
      <c r="P95" s="64">
        <v>18</v>
      </c>
      <c r="Q95" s="64" t="s">
        <v>160</v>
      </c>
      <c r="R95" s="64"/>
      <c r="S95" s="64"/>
      <c r="T95" s="64" t="s">
        <v>150</v>
      </c>
      <c r="U95" s="64" t="s">
        <v>151</v>
      </c>
      <c r="V95" s="64">
        <v>0</v>
      </c>
      <c r="W95" s="64">
        <v>940000</v>
      </c>
      <c r="X95" s="64" t="s">
        <v>91</v>
      </c>
      <c r="Y95" s="64">
        <v>1250000</v>
      </c>
      <c r="Z95" s="64">
        <v>1547635</v>
      </c>
      <c r="AA95" s="65">
        <f>Z95/Y95*100</f>
        <v>123.8108</v>
      </c>
      <c r="AB95" s="64">
        <v>1541023</v>
      </c>
      <c r="AC95" s="65">
        <f>Z95/AB95*100</f>
        <v>100.42906562718402</v>
      </c>
      <c r="AD95" s="64">
        <v>25000</v>
      </c>
      <c r="AE95" s="64">
        <v>45704</v>
      </c>
      <c r="AF95" s="64">
        <v>18310</v>
      </c>
      <c r="AG95" s="64">
        <v>64014</v>
      </c>
      <c r="AH95" s="65">
        <f>AE95/AD95*100</f>
        <v>182.816</v>
      </c>
      <c r="AI95" s="64">
        <v>39837</v>
      </c>
      <c r="AJ95" s="65">
        <f>AE95/AI95*100</f>
        <v>114.727514622085</v>
      </c>
      <c r="AK95" s="65">
        <f t="shared" ref="AK95:AK96" si="70">AE95/Z95*100</f>
        <v>2.9531510982886795</v>
      </c>
      <c r="AO95" s="45"/>
      <c r="AQ95" s="56"/>
    </row>
    <row r="96" spans="1:43">
      <c r="A96" s="60">
        <v>202404</v>
      </c>
      <c r="B96" s="60" t="s">
        <v>296</v>
      </c>
      <c r="C96" s="60" t="s">
        <v>70</v>
      </c>
      <c r="D96" s="60" t="s">
        <v>254</v>
      </c>
      <c r="E96" s="60" t="s">
        <v>82</v>
      </c>
      <c r="F96" s="60">
        <v>90</v>
      </c>
      <c r="G96" s="60" t="s">
        <v>161</v>
      </c>
      <c r="H96" s="60">
        <v>41</v>
      </c>
      <c r="I96" s="60" t="s">
        <v>156</v>
      </c>
      <c r="J96" s="60" t="s">
        <v>157</v>
      </c>
      <c r="K96" s="60" t="s">
        <v>158</v>
      </c>
      <c r="L96" s="60"/>
      <c r="M96" s="60"/>
      <c r="N96" s="60"/>
      <c r="O96" s="60"/>
      <c r="P96" s="60">
        <v>18</v>
      </c>
      <c r="Q96" s="60" t="s">
        <v>160</v>
      </c>
      <c r="R96" s="60"/>
      <c r="S96" s="60"/>
      <c r="T96" s="60" t="s">
        <v>152</v>
      </c>
      <c r="U96" s="60" t="s">
        <v>153</v>
      </c>
      <c r="V96" s="60">
        <v>0</v>
      </c>
      <c r="W96" s="60">
        <v>940000</v>
      </c>
      <c r="X96" s="60" t="s">
        <v>91</v>
      </c>
      <c r="Y96" s="60">
        <v>783000</v>
      </c>
      <c r="Z96" s="60">
        <v>832718</v>
      </c>
      <c r="AA96" s="61">
        <f>Z96/Y96*100</f>
        <v>106.34968071519795</v>
      </c>
      <c r="AB96" s="60">
        <v>836306</v>
      </c>
      <c r="AC96" s="60">
        <v>99.6</v>
      </c>
      <c r="AD96" s="60">
        <v>41000</v>
      </c>
      <c r="AE96" s="60">
        <v>33360</v>
      </c>
      <c r="AF96" s="60">
        <v>10809</v>
      </c>
      <c r="AG96" s="60">
        <v>44169</v>
      </c>
      <c r="AH96" s="61">
        <f>AE96/AD96*100</f>
        <v>81.365853658536579</v>
      </c>
      <c r="AI96" s="60">
        <v>39748</v>
      </c>
      <c r="AJ96" s="61">
        <f>AE96/AI96*100</f>
        <v>83.928751132132433</v>
      </c>
      <c r="AK96" s="61">
        <f t="shared" si="70"/>
        <v>4.0061581471758752</v>
      </c>
      <c r="AO96" s="45"/>
      <c r="AQ96" s="56"/>
    </row>
    <row r="97" spans="1:43">
      <c r="A97" s="64">
        <v>202404</v>
      </c>
      <c r="B97" s="64" t="s">
        <v>296</v>
      </c>
      <c r="C97" s="64" t="s">
        <v>70</v>
      </c>
      <c r="D97" s="64" t="s">
        <v>254</v>
      </c>
      <c r="E97" s="64" t="s">
        <v>82</v>
      </c>
      <c r="F97" s="64">
        <v>90</v>
      </c>
      <c r="G97" s="64" t="s">
        <v>161</v>
      </c>
      <c r="H97" s="64">
        <v>41</v>
      </c>
      <c r="I97" s="64" t="s">
        <v>156</v>
      </c>
      <c r="J97" s="64" t="s">
        <v>157</v>
      </c>
      <c r="K97" s="64" t="s">
        <v>158</v>
      </c>
      <c r="L97" s="64"/>
      <c r="M97" s="64"/>
      <c r="N97" s="64"/>
      <c r="O97" s="64"/>
      <c r="P97" s="64">
        <v>18</v>
      </c>
      <c r="Q97" s="64" t="s">
        <v>160</v>
      </c>
      <c r="R97" s="64"/>
      <c r="S97" s="64"/>
      <c r="T97" s="64"/>
      <c r="U97" s="64"/>
      <c r="V97" s="64">
        <v>1</v>
      </c>
      <c r="W97" s="64"/>
      <c r="X97" s="64" t="s">
        <v>91</v>
      </c>
      <c r="Y97" s="64">
        <f>SUM(Y95:Y96)</f>
        <v>2033000</v>
      </c>
      <c r="Z97" s="64">
        <f>SUM(Z95:Z96)</f>
        <v>2380353</v>
      </c>
      <c r="AA97" s="65">
        <f>Z97/Y97*100</f>
        <v>117.08573536645352</v>
      </c>
      <c r="AB97" s="64">
        <f>SUM(AB95:AB96)</f>
        <v>2377329</v>
      </c>
      <c r="AC97" s="65">
        <f>Z97/AB97*100</f>
        <v>100.12720157790528</v>
      </c>
      <c r="AD97" s="64">
        <f>SUM(AD95:AD96)</f>
        <v>66000</v>
      </c>
      <c r="AE97" s="64">
        <f t="shared" ref="AE97:AG97" si="71">SUM(AE95:AE96)</f>
        <v>79064</v>
      </c>
      <c r="AF97" s="64">
        <f t="shared" si="71"/>
        <v>29119</v>
      </c>
      <c r="AG97" s="64">
        <f t="shared" si="71"/>
        <v>108183</v>
      </c>
      <c r="AH97" s="65">
        <f>AE97/AD97*100</f>
        <v>119.79393939393938</v>
      </c>
      <c r="AI97" s="64">
        <f t="shared" ref="AI97" si="72">SUM(AI95:AI96)</f>
        <v>79585</v>
      </c>
      <c r="AJ97" s="65">
        <f>AE97/AI97*100</f>
        <v>99.345354023999505</v>
      </c>
      <c r="AK97" s="65">
        <f>AE97/Z97*100</f>
        <v>3.3215241604921628</v>
      </c>
      <c r="AO97" s="45"/>
      <c r="AQ97" s="56"/>
    </row>
    <row r="98" spans="1:43">
      <c r="A98" s="60">
        <v>202404</v>
      </c>
      <c r="B98" s="60" t="s">
        <v>296</v>
      </c>
      <c r="C98" s="60" t="s">
        <v>70</v>
      </c>
      <c r="D98" s="60" t="s">
        <v>254</v>
      </c>
      <c r="E98" s="60" t="s">
        <v>82</v>
      </c>
      <c r="F98" s="60">
        <v>90</v>
      </c>
      <c r="G98" s="60" t="s">
        <v>161</v>
      </c>
      <c r="H98" s="60">
        <v>41</v>
      </c>
      <c r="I98" s="60" t="s">
        <v>156</v>
      </c>
      <c r="J98" s="60" t="s">
        <v>157</v>
      </c>
      <c r="K98" s="60" t="s">
        <v>158</v>
      </c>
      <c r="L98" s="60"/>
      <c r="M98" s="60"/>
      <c r="N98" s="60"/>
      <c r="O98" s="60"/>
      <c r="P98" s="60">
        <v>18</v>
      </c>
      <c r="Q98" s="60" t="s">
        <v>160</v>
      </c>
      <c r="R98" s="60">
        <v>5614</v>
      </c>
      <c r="S98" s="60" t="s">
        <v>155</v>
      </c>
      <c r="T98" s="60"/>
      <c r="U98" s="60"/>
      <c r="V98" s="60">
        <v>0</v>
      </c>
      <c r="W98" s="60">
        <v>941000</v>
      </c>
      <c r="X98" s="60" t="s">
        <v>92</v>
      </c>
      <c r="Y98" s="60">
        <v>61400</v>
      </c>
      <c r="Z98" s="60">
        <v>61671</v>
      </c>
      <c r="AA98" s="61">
        <f>Z98/Y98*100</f>
        <v>100.4413680781759</v>
      </c>
      <c r="AB98" s="60">
        <v>60698</v>
      </c>
      <c r="AC98" s="61">
        <f>Z98/AB98*100</f>
        <v>101.6030182213582</v>
      </c>
      <c r="AD98" s="60">
        <v>-35318</v>
      </c>
      <c r="AE98" s="60">
        <v>-34602</v>
      </c>
      <c r="AF98" s="60">
        <v>96273</v>
      </c>
      <c r="AG98" s="60">
        <v>61671</v>
      </c>
      <c r="AH98" s="61">
        <f>AE98/AD98*100</f>
        <v>97.97270513619118</v>
      </c>
      <c r="AI98" s="60">
        <v>-33196</v>
      </c>
      <c r="AJ98" s="61">
        <f>AE98/AI98*100</f>
        <v>104.23545005422341</v>
      </c>
      <c r="AK98" s="61">
        <f>AE98/Z98*100</f>
        <v>-56.107408668580049</v>
      </c>
      <c r="AO98" s="45"/>
      <c r="AQ98" s="56"/>
    </row>
    <row r="99" spans="1:43">
      <c r="A99" s="64">
        <v>202404</v>
      </c>
      <c r="B99" s="64" t="s">
        <v>296</v>
      </c>
      <c r="C99" s="64" t="s">
        <v>70</v>
      </c>
      <c r="D99" s="64" t="s">
        <v>254</v>
      </c>
      <c r="E99" s="64" t="s">
        <v>82</v>
      </c>
      <c r="F99" s="64">
        <v>90</v>
      </c>
      <c r="G99" s="64" t="s">
        <v>161</v>
      </c>
      <c r="H99" s="64">
        <v>41</v>
      </c>
      <c r="I99" s="64" t="s">
        <v>156</v>
      </c>
      <c r="J99" s="64" t="s">
        <v>157</v>
      </c>
      <c r="K99" s="64" t="s">
        <v>158</v>
      </c>
      <c r="L99" s="64"/>
      <c r="M99" s="64"/>
      <c r="N99" s="64"/>
      <c r="O99" s="64"/>
      <c r="P99" s="64">
        <v>18</v>
      </c>
      <c r="Q99" s="64" t="s">
        <v>160</v>
      </c>
      <c r="R99" s="64"/>
      <c r="S99" s="64"/>
      <c r="T99" s="64"/>
      <c r="U99" s="64"/>
      <c r="V99" s="64">
        <v>1</v>
      </c>
      <c r="W99" s="64"/>
      <c r="X99" s="64" t="s">
        <v>92</v>
      </c>
      <c r="Y99" s="64">
        <f>SUM(Y98)</f>
        <v>61400</v>
      </c>
      <c r="Z99" s="64">
        <f>SUM(Z98)</f>
        <v>61671</v>
      </c>
      <c r="AA99" s="65">
        <f>Z99/Y99*100</f>
        <v>100.4413680781759</v>
      </c>
      <c r="AB99" s="64">
        <f>SUM(AB98)</f>
        <v>60698</v>
      </c>
      <c r="AC99" s="65">
        <f>Z99/AB99*100</f>
        <v>101.6030182213582</v>
      </c>
      <c r="AD99" s="64">
        <f>SUM(AD98)</f>
        <v>-35318</v>
      </c>
      <c r="AE99" s="64">
        <f>SUM(AE98)</f>
        <v>-34602</v>
      </c>
      <c r="AF99" s="64">
        <f>SUM(AF98)</f>
        <v>96273</v>
      </c>
      <c r="AG99" s="64">
        <f>SUM(AG98)</f>
        <v>61671</v>
      </c>
      <c r="AH99" s="65">
        <f>AE99/AD99*100</f>
        <v>97.97270513619118</v>
      </c>
      <c r="AI99" s="64">
        <f>SUM(AI98)</f>
        <v>-33196</v>
      </c>
      <c r="AJ99" s="65">
        <f>AE99/AI99*100</f>
        <v>104.23545005422341</v>
      </c>
      <c r="AK99" s="65">
        <f t="shared" ref="AK99:AK100" si="73">AE99/Z99*100</f>
        <v>-56.107408668580049</v>
      </c>
      <c r="AO99" s="45"/>
      <c r="AQ99" s="56"/>
    </row>
    <row r="100" spans="1:43">
      <c r="A100" s="60">
        <v>202404</v>
      </c>
      <c r="B100" s="60" t="s">
        <v>296</v>
      </c>
      <c r="C100" s="60" t="s">
        <v>70</v>
      </c>
      <c r="D100" s="60" t="s">
        <v>254</v>
      </c>
      <c r="E100" s="60" t="s">
        <v>82</v>
      </c>
      <c r="F100" s="60">
        <v>90</v>
      </c>
      <c r="G100" s="60" t="s">
        <v>161</v>
      </c>
      <c r="H100" s="60">
        <v>41</v>
      </c>
      <c r="I100" s="60" t="s">
        <v>156</v>
      </c>
      <c r="J100" s="60" t="s">
        <v>157</v>
      </c>
      <c r="K100" s="60" t="s">
        <v>158</v>
      </c>
      <c r="L100" s="60"/>
      <c r="M100" s="60"/>
      <c r="N100" s="60"/>
      <c r="O100" s="60"/>
      <c r="P100" s="60">
        <v>18</v>
      </c>
      <c r="Q100" s="60" t="s">
        <v>160</v>
      </c>
      <c r="R100" s="60"/>
      <c r="S100" s="60"/>
      <c r="T100" s="60"/>
      <c r="U100" s="60"/>
      <c r="V100" s="60">
        <v>1</v>
      </c>
      <c r="W100" s="60"/>
      <c r="X100" s="60"/>
      <c r="Y100" s="60">
        <f>Y97+Y99</f>
        <v>2094400</v>
      </c>
      <c r="Z100" s="60">
        <f>Z97+Z99</f>
        <v>2442024</v>
      </c>
      <c r="AA100" s="61">
        <f t="shared" ref="AA100" si="74">Z100/Y100*100</f>
        <v>116.5977845683728</v>
      </c>
      <c r="AB100" s="60">
        <f>AB97+AB99</f>
        <v>2438027</v>
      </c>
      <c r="AC100" s="61">
        <f t="shared" ref="AC100" si="75">Z100/AB100*100</f>
        <v>100.16394404163695</v>
      </c>
      <c r="AD100" s="60">
        <f>AD97+AD99</f>
        <v>30682</v>
      </c>
      <c r="AE100" s="60">
        <f>AE97+AE99</f>
        <v>44462</v>
      </c>
      <c r="AF100" s="60">
        <f>AF97+AF99</f>
        <v>125392</v>
      </c>
      <c r="AG100" s="60">
        <f>AG97+AG99</f>
        <v>169854</v>
      </c>
      <c r="AH100" s="61">
        <f t="shared" ref="AH100" si="76">AE100/AD100*100</f>
        <v>144.91232644547293</v>
      </c>
      <c r="AI100" s="60">
        <f>AI97+AI99</f>
        <v>46389</v>
      </c>
      <c r="AJ100" s="61">
        <f t="shared" ref="AJ100" si="77">AE100/AI100*100</f>
        <v>95.845997973657546</v>
      </c>
      <c r="AK100" s="61">
        <f t="shared" si="73"/>
        <v>1.8207028268354446</v>
      </c>
      <c r="AO100" s="45"/>
      <c r="AQ100" s="56"/>
    </row>
  </sheetData>
  <phoneticPr fontId="1"/>
  <pageMargins left="0.70866141732283472" right="0.70866141732283472" top="0.74803149606299213" bottom="0.74803149606299213" header="0.31496062992125984" footer="0.31496062992125984"/>
  <pageSetup paperSize="9" scale="25" fitToHeight="0" orientation="landscape" r:id="rId1"/>
  <headerFooter>
    <oddHeader>&amp;L&amp;A</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B2944-1EAB-4CF5-8B49-4FF378D0B8F8}">
  <sheetPr codeName="Sheet5">
    <pageSetUpPr fitToPage="1"/>
  </sheetPr>
  <dimension ref="A1:AO174"/>
  <sheetViews>
    <sheetView view="pageBreakPreview" zoomScaleNormal="85" zoomScaleSheetLayoutView="100" workbookViewId="0"/>
  </sheetViews>
  <sheetFormatPr defaultColWidth="9" defaultRowHeight="13.2"/>
  <cols>
    <col min="1" max="2" width="11.33203125" style="56" customWidth="1"/>
    <col min="3" max="3" width="8.44140625" style="45" customWidth="1"/>
    <col min="4" max="4" width="14.44140625" style="45" bestFit="1" customWidth="1"/>
    <col min="5" max="5" width="8.44140625" style="45" customWidth="1"/>
    <col min="6" max="6" width="10.109375" style="56" customWidth="1"/>
    <col min="7" max="7" width="11.6640625" style="56" customWidth="1"/>
    <col min="8" max="8" width="10.21875" style="56" customWidth="1"/>
    <col min="9" max="9" width="17.6640625" style="45" customWidth="1"/>
    <col min="10" max="10" width="10.6640625" style="45" customWidth="1"/>
    <col min="11" max="11" width="15.6640625" style="45" customWidth="1"/>
    <col min="12" max="12" width="10.33203125" style="45" customWidth="1"/>
    <col min="13" max="13" width="13.109375" style="45" customWidth="1"/>
    <col min="14" max="14" width="15.6640625" style="45" customWidth="1"/>
    <col min="15" max="15" width="22.88671875" style="45" bestFit="1" customWidth="1"/>
    <col min="16" max="16" width="10.33203125" style="45" customWidth="1"/>
    <col min="17" max="17" width="13.109375" style="45" customWidth="1"/>
    <col min="18" max="18" width="10.33203125" style="45" customWidth="1"/>
    <col min="19" max="19" width="40.77734375" style="45" bestFit="1" customWidth="1"/>
    <col min="20" max="20" width="12.109375" style="45" bestFit="1" customWidth="1"/>
    <col min="21" max="22" width="13.109375" style="45" customWidth="1"/>
    <col min="23" max="23" width="13.44140625" style="45" customWidth="1"/>
    <col min="24" max="24" width="18.109375" style="45" customWidth="1"/>
    <col min="25" max="25" width="16.109375" style="45" customWidth="1"/>
    <col min="26" max="26" width="16.109375" style="45" bestFit="1" customWidth="1"/>
    <col min="27" max="27" width="16.77734375" style="45" customWidth="1"/>
    <col min="28" max="28" width="14.88671875" style="45" customWidth="1"/>
    <col min="29" max="29" width="16.44140625" style="45" customWidth="1"/>
    <col min="30" max="30" width="16.109375" style="45" bestFit="1" customWidth="1"/>
    <col min="31" max="31" width="15.109375" style="45" customWidth="1"/>
    <col min="32" max="32" width="17.33203125" style="45" customWidth="1"/>
    <col min="33" max="33" width="14.109375" style="45" customWidth="1"/>
    <col min="34" max="34" width="10" style="45" customWidth="1"/>
    <col min="35" max="35" width="17.21875" style="45" customWidth="1"/>
    <col min="36" max="38" width="17.21875" style="56" customWidth="1"/>
    <col min="39" max="39" width="12.109375" style="56" bestFit="1" customWidth="1"/>
    <col min="40" max="40" width="11" style="56" bestFit="1" customWidth="1"/>
    <col min="41" max="41" width="8" style="45" bestFit="1" customWidth="1"/>
    <col min="42" max="42" width="13.44140625" style="56" bestFit="1" customWidth="1"/>
    <col min="43" max="50" width="6" style="56" bestFit="1" customWidth="1"/>
    <col min="51" max="51" width="7" style="56" bestFit="1" customWidth="1"/>
    <col min="52" max="52" width="6" style="56" bestFit="1" customWidth="1"/>
    <col min="53" max="53" width="7" style="56" bestFit="1" customWidth="1"/>
    <col min="54" max="54" width="6" style="56" bestFit="1" customWidth="1"/>
    <col min="55" max="16384" width="9" style="56"/>
  </cols>
  <sheetData>
    <row r="1" spans="1:37" ht="14.4">
      <c r="A1" s="55"/>
    </row>
    <row r="9" spans="1:37" ht="16.2">
      <c r="A9" s="49" t="s">
        <v>202</v>
      </c>
    </row>
    <row r="10" spans="1:37" s="58" customFormat="1" ht="33.75" customHeight="1">
      <c r="A10" s="35" t="s">
        <v>125</v>
      </c>
      <c r="B10" s="35" t="s">
        <v>126</v>
      </c>
      <c r="C10" s="36" t="s">
        <v>192</v>
      </c>
      <c r="D10" s="36" t="s">
        <v>193</v>
      </c>
      <c r="E10" s="36" t="s">
        <v>127</v>
      </c>
      <c r="F10" s="35" t="s">
        <v>53</v>
      </c>
      <c r="G10" s="35" t="s">
        <v>128</v>
      </c>
      <c r="H10" s="37" t="s">
        <v>129</v>
      </c>
      <c r="I10" s="37" t="s">
        <v>130</v>
      </c>
      <c r="J10" s="37" t="s">
        <v>131</v>
      </c>
      <c r="K10" s="37" t="s">
        <v>132</v>
      </c>
      <c r="L10" s="37" t="s">
        <v>166</v>
      </c>
      <c r="M10" s="37" t="s">
        <v>167</v>
      </c>
      <c r="N10" s="37" t="s">
        <v>270</v>
      </c>
      <c r="O10" s="37" t="s">
        <v>271</v>
      </c>
      <c r="P10" s="37" t="s">
        <v>133</v>
      </c>
      <c r="Q10" s="37" t="s">
        <v>134</v>
      </c>
      <c r="R10" s="37" t="s">
        <v>200</v>
      </c>
      <c r="S10" s="37" t="s">
        <v>201</v>
      </c>
      <c r="T10" s="37" t="s">
        <v>99</v>
      </c>
      <c r="U10" s="37" t="s">
        <v>101</v>
      </c>
      <c r="V10" s="37" t="s">
        <v>135</v>
      </c>
      <c r="W10" s="37" t="s">
        <v>136</v>
      </c>
      <c r="X10" s="37" t="s">
        <v>137</v>
      </c>
      <c r="Y10" s="37" t="s">
        <v>138</v>
      </c>
      <c r="Z10" s="37" t="s">
        <v>139</v>
      </c>
      <c r="AA10" s="37" t="s">
        <v>140</v>
      </c>
      <c r="AB10" s="37" t="s">
        <v>141</v>
      </c>
      <c r="AC10" s="37" t="s">
        <v>142</v>
      </c>
      <c r="AD10" s="37" t="s">
        <v>143</v>
      </c>
      <c r="AE10" s="37" t="s">
        <v>144</v>
      </c>
      <c r="AF10" s="37" t="s">
        <v>145</v>
      </c>
      <c r="AG10" s="37" t="s">
        <v>146</v>
      </c>
      <c r="AH10" s="37" t="s">
        <v>147</v>
      </c>
      <c r="AI10" s="57" t="s">
        <v>148</v>
      </c>
      <c r="AJ10" s="57" t="s">
        <v>149</v>
      </c>
      <c r="AK10" s="57" t="s">
        <v>104</v>
      </c>
    </row>
    <row r="11" spans="1:37" s="62" customFormat="1">
      <c r="A11" s="63" t="s">
        <v>299</v>
      </c>
      <c r="B11" s="63" t="s">
        <v>297</v>
      </c>
      <c r="C11" s="63" t="s">
        <v>204</v>
      </c>
      <c r="D11" s="63" t="s">
        <v>191</v>
      </c>
      <c r="E11" s="63" t="s">
        <v>82</v>
      </c>
      <c r="F11" s="64"/>
      <c r="G11" s="64"/>
      <c r="H11" s="63"/>
      <c r="I11" s="63"/>
      <c r="J11" s="63"/>
      <c r="K11" s="63"/>
      <c r="L11" s="63"/>
      <c r="M11" s="63"/>
      <c r="N11" s="63"/>
      <c r="O11" s="63"/>
      <c r="P11" s="63"/>
      <c r="Q11" s="63"/>
      <c r="R11" s="63"/>
      <c r="S11" s="63"/>
      <c r="T11" s="63" t="s">
        <v>205</v>
      </c>
      <c r="U11" s="63" t="s">
        <v>206</v>
      </c>
      <c r="V11" s="63">
        <v>0</v>
      </c>
      <c r="W11" s="63">
        <v>940000</v>
      </c>
      <c r="X11" s="63" t="s">
        <v>111</v>
      </c>
      <c r="Y11" s="63">
        <f>SUM(Y21,Y26,Y31,Y35)</f>
        <v>30000000</v>
      </c>
      <c r="Z11" s="63">
        <f>SUM(Z21,Z26,Z31,Z35)</f>
        <v>43333780</v>
      </c>
      <c r="AA11" s="67">
        <f>Z11/Y11*100</f>
        <v>144.44593333333333</v>
      </c>
      <c r="AB11" s="63">
        <f>SUM(AB21,AB26,AB31,AB35)</f>
        <v>43148644</v>
      </c>
      <c r="AC11" s="67">
        <f>Z11/AB11*100</f>
        <v>100.42906562718402</v>
      </c>
      <c r="AD11" s="63">
        <f>SUM(AD21,AD26,AD31,AD35)</f>
        <v>700000</v>
      </c>
      <c r="AE11" s="63">
        <f>SUM(AE21,AE26,AE31,AE35)</f>
        <v>1279712</v>
      </c>
      <c r="AF11" s="63">
        <f>SUM(AF21,AF26,AF31,AF35)</f>
        <v>512680</v>
      </c>
      <c r="AG11" s="63">
        <f>SUM(AG21,AG26,AG31,AG35)</f>
        <v>1792392</v>
      </c>
      <c r="AH11" s="67">
        <f>AE11/AD11*100</f>
        <v>182.816</v>
      </c>
      <c r="AI11" s="63">
        <f>SUM(AI21,AI26,AI31,AI35)</f>
        <v>1115436</v>
      </c>
      <c r="AJ11" s="67">
        <f>AE11/AI11*100</f>
        <v>114.727514622085</v>
      </c>
      <c r="AK11" s="67">
        <f t="shared" ref="AK11" si="0">AE11/Z11*100</f>
        <v>2.9531510982886795</v>
      </c>
    </row>
    <row r="12" spans="1:37" s="62" customFormat="1">
      <c r="A12" s="60" t="s">
        <v>298</v>
      </c>
      <c r="B12" s="60" t="s">
        <v>296</v>
      </c>
      <c r="C12" s="60" t="s">
        <v>199</v>
      </c>
      <c r="D12" s="60" t="s">
        <v>191</v>
      </c>
      <c r="E12" s="60" t="s">
        <v>82</v>
      </c>
      <c r="F12" s="60"/>
      <c r="G12" s="60"/>
      <c r="H12" s="60"/>
      <c r="I12" s="60"/>
      <c r="J12" s="60"/>
      <c r="K12" s="60"/>
      <c r="L12" s="60"/>
      <c r="M12" s="60"/>
      <c r="N12" s="60"/>
      <c r="O12" s="60"/>
      <c r="P12" s="60"/>
      <c r="Q12" s="60"/>
      <c r="R12" s="60"/>
      <c r="S12" s="60"/>
      <c r="T12" s="60"/>
      <c r="U12" s="60"/>
      <c r="V12" s="60">
        <v>1</v>
      </c>
      <c r="W12" s="60"/>
      <c r="X12" s="60" t="s">
        <v>91</v>
      </c>
      <c r="Y12" s="60">
        <f>SUM(Y11:Y11)</f>
        <v>30000000</v>
      </c>
      <c r="Z12" s="60">
        <f>SUM(Z11:Z11)</f>
        <v>43333780</v>
      </c>
      <c r="AA12" s="61">
        <f>Z12/Y12*100</f>
        <v>144.44593333333333</v>
      </c>
      <c r="AB12" s="60">
        <f>SUM(AB11:AB11)</f>
        <v>43148644</v>
      </c>
      <c r="AC12" s="61">
        <f>Z12/AB12*100</f>
        <v>100.42906562718402</v>
      </c>
      <c r="AD12" s="60">
        <f>SUM(AD11:AD11)</f>
        <v>700000</v>
      </c>
      <c r="AE12" s="60">
        <f>SUM(AE11:AE11)</f>
        <v>1279712</v>
      </c>
      <c r="AF12" s="60">
        <f>SUM(AF11:AF11)</f>
        <v>512680</v>
      </c>
      <c r="AG12" s="60">
        <f>SUM(AG11:AG11)</f>
        <v>1792392</v>
      </c>
      <c r="AH12" s="61">
        <f>AE12/AD12*100</f>
        <v>182.816</v>
      </c>
      <c r="AI12" s="60">
        <f>SUM(AI11:AI11)</f>
        <v>1115436</v>
      </c>
      <c r="AJ12" s="61">
        <f>AE12/AI12*100</f>
        <v>114.727514622085</v>
      </c>
      <c r="AK12" s="61">
        <f>AE12/Z12*100</f>
        <v>2.9531510982886795</v>
      </c>
    </row>
    <row r="13" spans="1:37" s="62" customFormat="1">
      <c r="A13" s="63" t="s">
        <v>298</v>
      </c>
      <c r="B13" s="63" t="s">
        <v>296</v>
      </c>
      <c r="C13" s="63" t="s">
        <v>204</v>
      </c>
      <c r="D13" s="63" t="s">
        <v>191</v>
      </c>
      <c r="E13" s="63" t="s">
        <v>82</v>
      </c>
      <c r="F13" s="63"/>
      <c r="G13" s="63"/>
      <c r="H13" s="63"/>
      <c r="I13" s="63"/>
      <c r="J13" s="63"/>
      <c r="K13" s="63"/>
      <c r="L13" s="63"/>
      <c r="M13" s="63"/>
      <c r="N13" s="63"/>
      <c r="O13" s="63"/>
      <c r="P13" s="63"/>
      <c r="Q13" s="63"/>
      <c r="R13" s="63" t="s">
        <v>264</v>
      </c>
      <c r="S13" s="63" t="s">
        <v>212</v>
      </c>
      <c r="T13" s="63"/>
      <c r="U13" s="63"/>
      <c r="V13" s="63">
        <v>0</v>
      </c>
      <c r="W13" s="63">
        <v>941000</v>
      </c>
      <c r="X13" s="63" t="s">
        <v>207</v>
      </c>
      <c r="Y13" s="63">
        <f>Y22</f>
        <v>279463</v>
      </c>
      <c r="Z13" s="63">
        <f>Z22</f>
        <v>268638</v>
      </c>
      <c r="AA13" s="67">
        <f>Z13/Y13*100</f>
        <v>96.126499751308756</v>
      </c>
      <c r="AB13" s="63">
        <f>AB22</f>
        <v>267739</v>
      </c>
      <c r="AC13" s="67">
        <f>Z13/AB13*100</f>
        <v>100.33577476572333</v>
      </c>
      <c r="AD13" s="63">
        <f>AD22</f>
        <v>30903</v>
      </c>
      <c r="AE13" s="63">
        <f>AE22</f>
        <v>41792</v>
      </c>
      <c r="AF13" s="63">
        <f>AF22</f>
        <v>226845</v>
      </c>
      <c r="AG13" s="63">
        <f>AG22</f>
        <v>268637</v>
      </c>
      <c r="AH13" s="67">
        <f>AE13/AD13*100</f>
        <v>135.23606122382941</v>
      </c>
      <c r="AI13" s="63">
        <f>AI22</f>
        <v>42243</v>
      </c>
      <c r="AJ13" s="67">
        <f>AE13/AI13*100</f>
        <v>98.932367492839049</v>
      </c>
      <c r="AK13" s="67">
        <f>AE13/Z13*100</f>
        <v>15.556994915090197</v>
      </c>
    </row>
    <row r="14" spans="1:37" s="62" customFormat="1">
      <c r="A14" s="60" t="s">
        <v>298</v>
      </c>
      <c r="B14" s="60" t="s">
        <v>296</v>
      </c>
      <c r="C14" s="60" t="s">
        <v>204</v>
      </c>
      <c r="D14" s="60" t="s">
        <v>191</v>
      </c>
      <c r="E14" s="60" t="s">
        <v>82</v>
      </c>
      <c r="F14" s="60"/>
      <c r="G14" s="60"/>
      <c r="H14" s="60"/>
      <c r="I14" s="60"/>
      <c r="J14" s="60"/>
      <c r="K14" s="60"/>
      <c r="L14" s="60"/>
      <c r="M14" s="60"/>
      <c r="N14" s="60"/>
      <c r="O14" s="60"/>
      <c r="P14" s="60"/>
      <c r="Q14" s="60"/>
      <c r="R14" s="59" t="s">
        <v>265</v>
      </c>
      <c r="S14" s="60" t="s">
        <v>211</v>
      </c>
      <c r="T14" s="60"/>
      <c r="U14" s="60"/>
      <c r="V14" s="60">
        <v>0</v>
      </c>
      <c r="W14" s="60">
        <v>941000</v>
      </c>
      <c r="X14" s="60" t="s">
        <v>207</v>
      </c>
      <c r="Y14" s="60">
        <f>Y27</f>
        <v>61400</v>
      </c>
      <c r="Z14" s="60">
        <f>Z27</f>
        <v>61671</v>
      </c>
      <c r="AA14" s="61">
        <f t="shared" ref="AA14" si="1">Z14/Y14*100</f>
        <v>100.4413680781759</v>
      </c>
      <c r="AB14" s="60">
        <f>AB27</f>
        <v>60698</v>
      </c>
      <c r="AC14" s="61">
        <f t="shared" ref="AC14" si="2">Z14/AB14*100</f>
        <v>101.6030182213582</v>
      </c>
      <c r="AD14" s="60">
        <f>AD27</f>
        <v>-35318</v>
      </c>
      <c r="AE14" s="60">
        <f>AE27</f>
        <v>-34602</v>
      </c>
      <c r="AF14" s="60">
        <f>AF27</f>
        <v>96273</v>
      </c>
      <c r="AG14" s="60">
        <f>AG27</f>
        <v>61671</v>
      </c>
      <c r="AH14" s="61">
        <f t="shared" ref="AH14" si="3">AE14/AD14*100</f>
        <v>97.97270513619118</v>
      </c>
      <c r="AI14" s="60">
        <f>AI27</f>
        <v>-33196</v>
      </c>
      <c r="AJ14" s="61">
        <f t="shared" ref="AJ14" si="4">AE14/AI14*100</f>
        <v>104.23545005422341</v>
      </c>
      <c r="AK14" s="61">
        <f t="shared" ref="AK14" si="5">AE14/Z14*100</f>
        <v>-56.107408668580049</v>
      </c>
    </row>
    <row r="15" spans="1:37" s="62" customFormat="1">
      <c r="A15" s="63" t="s">
        <v>298</v>
      </c>
      <c r="B15" s="63" t="s">
        <v>296</v>
      </c>
      <c r="C15" s="63" t="s">
        <v>204</v>
      </c>
      <c r="D15" s="63" t="s">
        <v>191</v>
      </c>
      <c r="E15" s="63" t="s">
        <v>82</v>
      </c>
      <c r="F15" s="63"/>
      <c r="G15" s="63"/>
      <c r="H15" s="63"/>
      <c r="I15" s="63"/>
      <c r="J15" s="63"/>
      <c r="K15" s="63"/>
      <c r="L15" s="63"/>
      <c r="M15" s="63"/>
      <c r="N15" s="63"/>
      <c r="O15" s="63"/>
      <c r="P15" s="63"/>
      <c r="Q15" s="63"/>
      <c r="R15" s="63" t="s">
        <v>213</v>
      </c>
      <c r="S15" s="63" t="s">
        <v>262</v>
      </c>
      <c r="T15" s="63"/>
      <c r="U15" s="63"/>
      <c r="V15" s="63">
        <v>0</v>
      </c>
      <c r="W15" s="63">
        <v>941000</v>
      </c>
      <c r="X15" s="63" t="s">
        <v>207</v>
      </c>
      <c r="Y15" s="63">
        <f>Y33</f>
        <v>2500000</v>
      </c>
      <c r="Z15" s="63">
        <f>Z33</f>
        <v>6190540</v>
      </c>
      <c r="AA15" s="67">
        <f>Z15/Y15*100</f>
        <v>247.6216</v>
      </c>
      <c r="AB15" s="63">
        <f>AB33</f>
        <v>6164092</v>
      </c>
      <c r="AC15" s="67">
        <f>Z15/AB15*100</f>
        <v>100.42906562718402</v>
      </c>
      <c r="AD15" s="63">
        <f t="shared" ref="AD15:AG16" si="6">AD33</f>
        <v>100000</v>
      </c>
      <c r="AE15" s="63">
        <f t="shared" si="6"/>
        <v>182816</v>
      </c>
      <c r="AF15" s="63">
        <f t="shared" si="6"/>
        <v>73240</v>
      </c>
      <c r="AG15" s="63">
        <f t="shared" si="6"/>
        <v>256056</v>
      </c>
      <c r="AH15" s="67">
        <f>AE15/AD15*100</f>
        <v>182.816</v>
      </c>
      <c r="AI15" s="63">
        <f>AI33</f>
        <v>159348</v>
      </c>
      <c r="AJ15" s="67">
        <f>AE15/AI15*100</f>
        <v>114.727514622085</v>
      </c>
      <c r="AK15" s="67">
        <f>AE15/Z15*100</f>
        <v>2.9531510982886795</v>
      </c>
    </row>
    <row r="16" spans="1:37" s="62" customFormat="1">
      <c r="A16" s="60" t="s">
        <v>298</v>
      </c>
      <c r="B16" s="60" t="s">
        <v>296</v>
      </c>
      <c r="C16" s="60" t="s">
        <v>204</v>
      </c>
      <c r="D16" s="60" t="s">
        <v>191</v>
      </c>
      <c r="E16" s="60" t="s">
        <v>82</v>
      </c>
      <c r="F16" s="60"/>
      <c r="G16" s="60"/>
      <c r="H16" s="60"/>
      <c r="I16" s="60"/>
      <c r="J16" s="60"/>
      <c r="K16" s="60"/>
      <c r="L16" s="60"/>
      <c r="M16" s="60"/>
      <c r="N16" s="60"/>
      <c r="O16" s="60"/>
      <c r="P16" s="60"/>
      <c r="Q16" s="60"/>
      <c r="R16" s="60" t="s">
        <v>197</v>
      </c>
      <c r="S16" s="60" t="s">
        <v>263</v>
      </c>
      <c r="T16" s="60"/>
      <c r="U16" s="60"/>
      <c r="V16" s="60">
        <v>0</v>
      </c>
      <c r="W16" s="60">
        <v>941000</v>
      </c>
      <c r="X16" s="60" t="s">
        <v>207</v>
      </c>
      <c r="Y16" s="60">
        <f>Y34</f>
        <v>2500000</v>
      </c>
      <c r="Z16" s="60">
        <f>Z34</f>
        <v>6190540</v>
      </c>
      <c r="AA16" s="61">
        <f t="shared" ref="AA16:AA18" si="7">Z16/Y16*100</f>
        <v>247.6216</v>
      </c>
      <c r="AB16" s="60">
        <f>AB34</f>
        <v>6164092</v>
      </c>
      <c r="AC16" s="61">
        <f t="shared" ref="AC16:AC18" si="8">Z16/AB16*100</f>
        <v>100.42906562718402</v>
      </c>
      <c r="AD16" s="60">
        <f t="shared" si="6"/>
        <v>100000</v>
      </c>
      <c r="AE16" s="60">
        <f t="shared" si="6"/>
        <v>182816</v>
      </c>
      <c r="AF16" s="60">
        <f t="shared" si="6"/>
        <v>73240</v>
      </c>
      <c r="AG16" s="60">
        <f t="shared" si="6"/>
        <v>256056</v>
      </c>
      <c r="AH16" s="61">
        <f t="shared" ref="AH16:AH18" si="9">AE16/AD16*100</f>
        <v>182.816</v>
      </c>
      <c r="AI16" s="60">
        <f>AI34</f>
        <v>159348</v>
      </c>
      <c r="AJ16" s="61">
        <f t="shared" ref="AJ16:AJ18" si="10">AE16/AI16*100</f>
        <v>114.727514622085</v>
      </c>
      <c r="AK16" s="61">
        <f t="shared" ref="AK16:AK18" si="11">AE16/Z16*100</f>
        <v>2.9531510982886795</v>
      </c>
    </row>
    <row r="17" spans="1:37" s="62" customFormat="1">
      <c r="A17" s="63" t="s">
        <v>298</v>
      </c>
      <c r="B17" s="63" t="s">
        <v>296</v>
      </c>
      <c r="C17" s="63" t="s">
        <v>204</v>
      </c>
      <c r="D17" s="63" t="s">
        <v>191</v>
      </c>
      <c r="E17" s="63" t="s">
        <v>82</v>
      </c>
      <c r="F17" s="63"/>
      <c r="G17" s="63"/>
      <c r="H17" s="63"/>
      <c r="I17" s="63"/>
      <c r="J17" s="63"/>
      <c r="K17" s="63"/>
      <c r="L17" s="63"/>
      <c r="M17" s="63"/>
      <c r="N17" s="63"/>
      <c r="O17" s="63"/>
      <c r="P17" s="63"/>
      <c r="Q17" s="63"/>
      <c r="R17" s="63"/>
      <c r="S17" s="63"/>
      <c r="T17" s="63"/>
      <c r="U17" s="63"/>
      <c r="V17" s="63">
        <v>1</v>
      </c>
      <c r="W17" s="63"/>
      <c r="X17" s="63" t="s">
        <v>207</v>
      </c>
      <c r="Y17" s="63">
        <f>SUM(Y13:Y16)</f>
        <v>5340863</v>
      </c>
      <c r="Z17" s="63">
        <f>SUM(Z13:Z16)</f>
        <v>12711389</v>
      </c>
      <c r="AA17" s="67">
        <f t="shared" si="7"/>
        <v>238.00252880480178</v>
      </c>
      <c r="AB17" s="63">
        <f>SUM(AB13:AB16)</f>
        <v>12656621</v>
      </c>
      <c r="AC17" s="67">
        <f t="shared" si="8"/>
        <v>100.43272213017993</v>
      </c>
      <c r="AD17" s="63">
        <f>SUM(AD13:AD16)</f>
        <v>195585</v>
      </c>
      <c r="AE17" s="63">
        <f>SUM(AE13:AE16)</f>
        <v>372822</v>
      </c>
      <c r="AF17" s="63">
        <f>SUM(AF13:AF16)</f>
        <v>469598</v>
      </c>
      <c r="AG17" s="63">
        <f>SUM(AG13:AG16)</f>
        <v>842420</v>
      </c>
      <c r="AH17" s="67">
        <f t="shared" si="9"/>
        <v>190.61891249328937</v>
      </c>
      <c r="AI17" s="63">
        <f>SUM(AI13:AI16)</f>
        <v>327743</v>
      </c>
      <c r="AJ17" s="67">
        <f t="shared" si="10"/>
        <v>113.75437461669662</v>
      </c>
      <c r="AK17" s="67">
        <f t="shared" si="11"/>
        <v>2.9329760893951087</v>
      </c>
    </row>
    <row r="18" spans="1:37" s="62" customFormat="1">
      <c r="A18" s="60" t="s">
        <v>298</v>
      </c>
      <c r="B18" s="60" t="s">
        <v>296</v>
      </c>
      <c r="C18" s="60" t="s">
        <v>199</v>
      </c>
      <c r="D18" s="60" t="s">
        <v>191</v>
      </c>
      <c r="E18" s="60" t="s">
        <v>82</v>
      </c>
      <c r="F18" s="60"/>
      <c r="G18" s="60"/>
      <c r="H18" s="60"/>
      <c r="I18" s="60"/>
      <c r="J18" s="60"/>
      <c r="K18" s="60"/>
      <c r="L18" s="60"/>
      <c r="M18" s="60"/>
      <c r="N18" s="60"/>
      <c r="O18" s="60"/>
      <c r="P18" s="60"/>
      <c r="Q18" s="60"/>
      <c r="R18" s="60"/>
      <c r="S18" s="60"/>
      <c r="T18" s="60"/>
      <c r="U18" s="60"/>
      <c r="V18" s="60">
        <v>1</v>
      </c>
      <c r="W18" s="60"/>
      <c r="X18" s="60"/>
      <c r="Y18" s="60">
        <f>Y12+Y17</f>
        <v>35340863</v>
      </c>
      <c r="Z18" s="60">
        <f>Z12+Z17</f>
        <v>56045169</v>
      </c>
      <c r="AA18" s="61">
        <f t="shared" si="7"/>
        <v>158.58460785182297</v>
      </c>
      <c r="AB18" s="60">
        <f>AB12+AB17</f>
        <v>55805265</v>
      </c>
      <c r="AC18" s="61">
        <f t="shared" si="8"/>
        <v>100.42989492120502</v>
      </c>
      <c r="AD18" s="60">
        <f>AD12+AD17</f>
        <v>895585</v>
      </c>
      <c r="AE18" s="60">
        <f>AE12+AE17</f>
        <v>1652534</v>
      </c>
      <c r="AF18" s="60">
        <f>AF12+AF17</f>
        <v>982278</v>
      </c>
      <c r="AG18" s="60">
        <f>AG12+AG17</f>
        <v>2634812</v>
      </c>
      <c r="AH18" s="61">
        <f t="shared" si="9"/>
        <v>184.52006230564379</v>
      </c>
      <c r="AI18" s="60">
        <f>AI12+AI17</f>
        <v>1443179</v>
      </c>
      <c r="AJ18" s="61">
        <f t="shared" si="10"/>
        <v>114.50651651666217</v>
      </c>
      <c r="AK18" s="61">
        <f t="shared" si="11"/>
        <v>2.9485752821978286</v>
      </c>
    </row>
    <row r="19" spans="1:37" s="62" customFormat="1" ht="14.4">
      <c r="A19" s="38"/>
      <c r="B19" s="38"/>
      <c r="C19" s="68"/>
      <c r="D19" s="68"/>
      <c r="E19" s="68"/>
      <c r="F19" s="38"/>
      <c r="G19" s="38"/>
      <c r="H19" s="38"/>
      <c r="I19" s="39" t="s">
        <v>93</v>
      </c>
      <c r="J19" s="39"/>
      <c r="K19" s="40"/>
      <c r="L19" s="40"/>
      <c r="M19" s="40"/>
      <c r="N19" s="40"/>
      <c r="O19" s="40"/>
      <c r="P19" s="40"/>
      <c r="Q19" s="40"/>
      <c r="R19" s="40"/>
      <c r="S19" s="40"/>
      <c r="T19" s="40"/>
      <c r="U19" s="40"/>
      <c r="V19" s="40"/>
      <c r="W19" s="41"/>
      <c r="X19" s="40"/>
      <c r="Y19" s="69"/>
      <c r="Z19" s="69"/>
      <c r="AA19" s="70"/>
      <c r="AB19" s="69"/>
      <c r="AC19" s="70"/>
      <c r="AD19" s="69"/>
      <c r="AE19" s="69"/>
      <c r="AF19" s="69"/>
      <c r="AG19" s="69"/>
      <c r="AH19" s="70"/>
      <c r="AJ19" s="71"/>
      <c r="AK19" s="71"/>
    </row>
    <row r="20" spans="1:37" s="62" customFormat="1">
      <c r="A20" s="63" t="s">
        <v>298</v>
      </c>
      <c r="B20" s="63" t="s">
        <v>296</v>
      </c>
      <c r="C20" s="63" t="s">
        <v>214</v>
      </c>
      <c r="D20" s="63" t="s">
        <v>301</v>
      </c>
      <c r="E20" s="63" t="s">
        <v>82</v>
      </c>
      <c r="F20" s="63"/>
      <c r="G20" s="63"/>
      <c r="H20" s="63"/>
      <c r="I20" s="63"/>
      <c r="J20" s="63"/>
      <c r="K20" s="63"/>
      <c r="L20" s="63" t="s">
        <v>223</v>
      </c>
      <c r="M20" s="63" t="s">
        <v>219</v>
      </c>
      <c r="N20" s="63"/>
      <c r="O20" s="63"/>
      <c r="P20" s="63"/>
      <c r="Q20" s="63"/>
      <c r="R20" s="63"/>
      <c r="S20" s="63"/>
      <c r="T20" s="63" t="s">
        <v>205</v>
      </c>
      <c r="U20" s="63" t="s">
        <v>206</v>
      </c>
      <c r="V20" s="63">
        <v>0</v>
      </c>
      <c r="W20" s="63">
        <v>940000</v>
      </c>
      <c r="X20" s="63" t="s">
        <v>111</v>
      </c>
      <c r="Y20" s="63">
        <f>SUM(Y38,Y41,Y44)</f>
        <v>7500000</v>
      </c>
      <c r="Z20" s="63">
        <f>SUM(Z38,Z41,Z44)</f>
        <v>9285810</v>
      </c>
      <c r="AA20" s="67">
        <f>Z20/Y20*100</f>
        <v>123.8108</v>
      </c>
      <c r="AB20" s="63">
        <f>SUM(AB38,AB41,AB44)</f>
        <v>9246138</v>
      </c>
      <c r="AC20" s="67">
        <f>Z20/AB20*100</f>
        <v>100.42906562718402</v>
      </c>
      <c r="AD20" s="63">
        <f>SUM(AD38,AD41,AD44)</f>
        <v>150000</v>
      </c>
      <c r="AE20" s="63">
        <f>SUM(AE38,AE41,AE44)</f>
        <v>274224</v>
      </c>
      <c r="AF20" s="63">
        <f>SUM(AF38,AF41,AF44)</f>
        <v>109860</v>
      </c>
      <c r="AG20" s="63">
        <f>SUM(AG38,AG41,AG44)</f>
        <v>384084</v>
      </c>
      <c r="AH20" s="67">
        <f>AE20/AD20*100</f>
        <v>182.816</v>
      </c>
      <c r="AI20" s="63">
        <f>SUM(AI38,AI41,AI44)</f>
        <v>239022</v>
      </c>
      <c r="AJ20" s="67">
        <f>AE20/AI20*100</f>
        <v>114.727514622085</v>
      </c>
      <c r="AK20" s="67">
        <f t="shared" ref="AK20" si="12">AE20/Z20*100</f>
        <v>2.9531510982886795</v>
      </c>
    </row>
    <row r="21" spans="1:37" s="62" customFormat="1">
      <c r="A21" s="60" t="s">
        <v>298</v>
      </c>
      <c r="B21" s="60" t="s">
        <v>296</v>
      </c>
      <c r="C21" s="60" t="s">
        <v>213</v>
      </c>
      <c r="D21" s="60" t="s">
        <v>301</v>
      </c>
      <c r="E21" s="60" t="s">
        <v>82</v>
      </c>
      <c r="F21" s="60"/>
      <c r="G21" s="60"/>
      <c r="H21" s="60"/>
      <c r="I21" s="60"/>
      <c r="J21" s="60"/>
      <c r="K21" s="60"/>
      <c r="L21" s="60" t="s">
        <v>222</v>
      </c>
      <c r="M21" s="60" t="s">
        <v>218</v>
      </c>
      <c r="N21" s="60"/>
      <c r="O21" s="60"/>
      <c r="P21" s="60"/>
      <c r="Q21" s="60"/>
      <c r="R21" s="60"/>
      <c r="S21" s="60"/>
      <c r="T21" s="60"/>
      <c r="U21" s="60"/>
      <c r="V21" s="60">
        <v>1</v>
      </c>
      <c r="W21" s="60"/>
      <c r="X21" s="60" t="s">
        <v>91</v>
      </c>
      <c r="Y21" s="60">
        <f>SUM(Y20:Y20)</f>
        <v>7500000</v>
      </c>
      <c r="Z21" s="60">
        <f>SUM(Z20:Z20)</f>
        <v>9285810</v>
      </c>
      <c r="AA21" s="61">
        <f>Z21/Y21*100</f>
        <v>123.8108</v>
      </c>
      <c r="AB21" s="60">
        <f>SUM(AB20:AB20)</f>
        <v>9246138</v>
      </c>
      <c r="AC21" s="61">
        <f>Z21/AB21*100</f>
        <v>100.42906562718402</v>
      </c>
      <c r="AD21" s="60">
        <f>SUM(AD20:AD20)</f>
        <v>150000</v>
      </c>
      <c r="AE21" s="60">
        <f>SUM(AE20:AE20)</f>
        <v>274224</v>
      </c>
      <c r="AF21" s="60">
        <f>SUM(AF20:AF20)</f>
        <v>109860</v>
      </c>
      <c r="AG21" s="60">
        <f>SUM(AG20:AG20)</f>
        <v>384084</v>
      </c>
      <c r="AH21" s="61">
        <f>AE21/AD21*100</f>
        <v>182.816</v>
      </c>
      <c r="AI21" s="60">
        <f>SUM(AI20:AI20)</f>
        <v>239022</v>
      </c>
      <c r="AJ21" s="61">
        <f>AE21/AI21*100</f>
        <v>114.727514622085</v>
      </c>
      <c r="AK21" s="61">
        <f>AE21/Z21*100</f>
        <v>2.9531510982886795</v>
      </c>
    </row>
    <row r="22" spans="1:37" s="62" customFormat="1">
      <c r="A22" s="63" t="s">
        <v>298</v>
      </c>
      <c r="B22" s="63" t="s">
        <v>296</v>
      </c>
      <c r="C22" s="63" t="s">
        <v>214</v>
      </c>
      <c r="D22" s="63" t="s">
        <v>301</v>
      </c>
      <c r="E22" s="63" t="s">
        <v>82</v>
      </c>
      <c r="F22" s="63"/>
      <c r="G22" s="63"/>
      <c r="H22" s="63"/>
      <c r="I22" s="63"/>
      <c r="J22" s="63"/>
      <c r="K22" s="63"/>
      <c r="L22" s="63" t="s">
        <v>223</v>
      </c>
      <c r="M22" s="63" t="s">
        <v>219</v>
      </c>
      <c r="N22" s="63"/>
      <c r="O22" s="63"/>
      <c r="P22" s="63"/>
      <c r="Q22" s="63"/>
      <c r="R22" s="63" t="s">
        <v>264</v>
      </c>
      <c r="S22" s="63" t="s">
        <v>212</v>
      </c>
      <c r="T22" s="63"/>
      <c r="U22" s="63"/>
      <c r="V22" s="63">
        <v>0</v>
      </c>
      <c r="W22" s="63">
        <v>941000</v>
      </c>
      <c r="X22" s="63" t="s">
        <v>207</v>
      </c>
      <c r="Y22" s="63">
        <f>SUM(Y47)</f>
        <v>279463</v>
      </c>
      <c r="Z22" s="63">
        <f>SUM(Z47)</f>
        <v>268638</v>
      </c>
      <c r="AA22" s="67">
        <f t="shared" ref="AA22" si="13">Z22/Y22*100</f>
        <v>96.126499751308756</v>
      </c>
      <c r="AB22" s="63">
        <f>SUM(AB47)</f>
        <v>267739</v>
      </c>
      <c r="AC22" s="67">
        <f t="shared" ref="AC22" si="14">Z22/AB22*100</f>
        <v>100.33577476572333</v>
      </c>
      <c r="AD22" s="63">
        <f>SUM(AD47)</f>
        <v>30903</v>
      </c>
      <c r="AE22" s="63">
        <f>SUM(AE47)</f>
        <v>41792</v>
      </c>
      <c r="AF22" s="63">
        <f>SUM(AF47)</f>
        <v>226845</v>
      </c>
      <c r="AG22" s="63">
        <f>SUM(AG47)</f>
        <v>268637</v>
      </c>
      <c r="AH22" s="67">
        <f t="shared" ref="AH22" si="15">AE22/AD22*100</f>
        <v>135.23606122382941</v>
      </c>
      <c r="AI22" s="63">
        <f>SUM(AI47)</f>
        <v>42243</v>
      </c>
      <c r="AJ22" s="67">
        <f t="shared" ref="AJ22" si="16">AE22/AI22*100</f>
        <v>98.932367492839049</v>
      </c>
      <c r="AK22" s="67">
        <f t="shared" ref="AK22:AK25" si="17">AE22/Z22*100</f>
        <v>15.556994915090197</v>
      </c>
    </row>
    <row r="23" spans="1:37" s="62" customFormat="1">
      <c r="A23" s="60" t="s">
        <v>298</v>
      </c>
      <c r="B23" s="60" t="s">
        <v>296</v>
      </c>
      <c r="C23" s="60" t="s">
        <v>213</v>
      </c>
      <c r="D23" s="60" t="s">
        <v>301</v>
      </c>
      <c r="E23" s="60" t="s">
        <v>82</v>
      </c>
      <c r="F23" s="60"/>
      <c r="G23" s="60"/>
      <c r="H23" s="60"/>
      <c r="I23" s="60"/>
      <c r="J23" s="60"/>
      <c r="K23" s="60"/>
      <c r="L23" s="60" t="s">
        <v>222</v>
      </c>
      <c r="M23" s="60" t="s">
        <v>218</v>
      </c>
      <c r="N23" s="60"/>
      <c r="O23" s="60"/>
      <c r="P23" s="60"/>
      <c r="Q23" s="60"/>
      <c r="R23" s="60"/>
      <c r="S23" s="60"/>
      <c r="T23" s="60"/>
      <c r="U23" s="60"/>
      <c r="V23" s="60">
        <v>1</v>
      </c>
      <c r="W23" s="60"/>
      <c r="X23" s="60" t="s">
        <v>207</v>
      </c>
      <c r="Y23" s="60">
        <f>SUM(Y22:Y22)</f>
        <v>279463</v>
      </c>
      <c r="Z23" s="60">
        <f>SUM(Z22)</f>
        <v>268638</v>
      </c>
      <c r="AA23" s="61">
        <f>Z23/Y23*100</f>
        <v>96.126499751308756</v>
      </c>
      <c r="AB23" s="60">
        <f>SUM(AB22)</f>
        <v>267739</v>
      </c>
      <c r="AC23" s="61">
        <f>Z23/AB23*100</f>
        <v>100.33577476572333</v>
      </c>
      <c r="AD23" s="60">
        <f>SUM(AD22)</f>
        <v>30903</v>
      </c>
      <c r="AE23" s="60">
        <f>SUM(AE22)</f>
        <v>41792</v>
      </c>
      <c r="AF23" s="60">
        <f>SUM(AF22)</f>
        <v>226845</v>
      </c>
      <c r="AG23" s="60">
        <f>SUM(AG22)</f>
        <v>268637</v>
      </c>
      <c r="AH23" s="61">
        <f>AE23/AD23*100</f>
        <v>135.23606122382941</v>
      </c>
      <c r="AI23" s="60">
        <f>SUM(AI22)</f>
        <v>42243</v>
      </c>
      <c r="AJ23" s="61">
        <f>AE23/AI23*100</f>
        <v>98.932367492839049</v>
      </c>
      <c r="AK23" s="61">
        <f t="shared" si="17"/>
        <v>15.556994915090197</v>
      </c>
    </row>
    <row r="24" spans="1:37" s="62" customFormat="1">
      <c r="A24" s="63" t="s">
        <v>298</v>
      </c>
      <c r="B24" s="63" t="s">
        <v>296</v>
      </c>
      <c r="C24" s="63" t="s">
        <v>214</v>
      </c>
      <c r="D24" s="63" t="s">
        <v>301</v>
      </c>
      <c r="E24" s="63" t="s">
        <v>82</v>
      </c>
      <c r="F24" s="63"/>
      <c r="G24" s="63"/>
      <c r="H24" s="63"/>
      <c r="I24" s="63"/>
      <c r="J24" s="63"/>
      <c r="K24" s="63"/>
      <c r="L24" s="63" t="s">
        <v>223</v>
      </c>
      <c r="M24" s="63" t="s">
        <v>219</v>
      </c>
      <c r="N24" s="63"/>
      <c r="O24" s="63"/>
      <c r="P24" s="63"/>
      <c r="Q24" s="63"/>
      <c r="R24" s="63"/>
      <c r="S24" s="63"/>
      <c r="T24" s="63"/>
      <c r="U24" s="63"/>
      <c r="V24" s="63">
        <v>1</v>
      </c>
      <c r="W24" s="63"/>
      <c r="X24" s="63"/>
      <c r="Y24" s="63">
        <f>Y21+Y23</f>
        <v>7779463</v>
      </c>
      <c r="Z24" s="63">
        <f>Z21+Z23</f>
        <v>9554448</v>
      </c>
      <c r="AA24" s="67">
        <f t="shared" ref="AA24" si="18">Z24/Y24*100</f>
        <v>122.81629207568696</v>
      </c>
      <c r="AB24" s="63">
        <f>AB21+AB23</f>
        <v>9513877</v>
      </c>
      <c r="AC24" s="67">
        <f t="shared" ref="AC24" si="19">Z24/AB24*100</f>
        <v>100.42644024092387</v>
      </c>
      <c r="AD24" s="63">
        <f>AD21+AD23</f>
        <v>180903</v>
      </c>
      <c r="AE24" s="63">
        <f>AE21+AE23</f>
        <v>316016</v>
      </c>
      <c r="AF24" s="63">
        <f>AF21+AF23</f>
        <v>336705</v>
      </c>
      <c r="AG24" s="63">
        <f>AG21+AG23</f>
        <v>652721</v>
      </c>
      <c r="AH24" s="67">
        <f t="shared" ref="AH24" si="20">AE24/AD24*100</f>
        <v>174.68809251366756</v>
      </c>
      <c r="AI24" s="63">
        <f>AI21+AI23</f>
        <v>281265</v>
      </c>
      <c r="AJ24" s="67">
        <f t="shared" ref="AJ24" si="21">AE24/AI24*100</f>
        <v>112.35525216432902</v>
      </c>
      <c r="AK24" s="67">
        <f t="shared" si="17"/>
        <v>3.3075275515655118</v>
      </c>
    </row>
    <row r="25" spans="1:37" s="62" customFormat="1">
      <c r="A25" s="60" t="s">
        <v>298</v>
      </c>
      <c r="B25" s="60" t="s">
        <v>296</v>
      </c>
      <c r="C25" s="60" t="s">
        <v>214</v>
      </c>
      <c r="D25" s="60" t="s">
        <v>301</v>
      </c>
      <c r="E25" s="60" t="s">
        <v>82</v>
      </c>
      <c r="F25" s="60"/>
      <c r="G25" s="60"/>
      <c r="H25" s="60"/>
      <c r="I25" s="60"/>
      <c r="J25" s="60"/>
      <c r="K25" s="60"/>
      <c r="L25" s="60" t="s">
        <v>217</v>
      </c>
      <c r="M25" s="60" t="s">
        <v>215</v>
      </c>
      <c r="N25" s="60"/>
      <c r="O25" s="60"/>
      <c r="P25" s="60"/>
      <c r="Q25" s="60"/>
      <c r="R25" s="60"/>
      <c r="S25" s="60"/>
      <c r="T25" s="60" t="s">
        <v>205</v>
      </c>
      <c r="U25" s="60" t="s">
        <v>206</v>
      </c>
      <c r="V25" s="60">
        <v>0</v>
      </c>
      <c r="W25" s="60">
        <v>940000</v>
      </c>
      <c r="X25" s="60" t="s">
        <v>111</v>
      </c>
      <c r="Y25" s="60">
        <f>SUM(Y50,Y53,Y56)</f>
        <v>7500000</v>
      </c>
      <c r="Z25" s="60">
        <f>SUM(Z50,Z53,Z56)</f>
        <v>9285810</v>
      </c>
      <c r="AA25" s="61">
        <f>Z25/Y25*100</f>
        <v>123.8108</v>
      </c>
      <c r="AB25" s="60">
        <f>SUM(AB50,AB53,AB56)</f>
        <v>9246138</v>
      </c>
      <c r="AC25" s="61">
        <f>Z25/AB25*100</f>
        <v>100.42906562718402</v>
      </c>
      <c r="AD25" s="60">
        <f>SUM(AD50,AD53,AD56)</f>
        <v>150000</v>
      </c>
      <c r="AE25" s="60">
        <f>SUM(AE50,AE53,AE56)</f>
        <v>274224</v>
      </c>
      <c r="AF25" s="60">
        <f>SUM(AF50,AF53,AF56)</f>
        <v>109860</v>
      </c>
      <c r="AG25" s="60">
        <f>SUM(AG50,AG53,AG56)</f>
        <v>384084</v>
      </c>
      <c r="AH25" s="61">
        <f>AE25/AD25*100</f>
        <v>182.816</v>
      </c>
      <c r="AI25" s="60">
        <f>SUM(AI50,AI53,AI56)</f>
        <v>239022</v>
      </c>
      <c r="AJ25" s="61">
        <f>AE25/AI25*100</f>
        <v>114.727514622085</v>
      </c>
      <c r="AK25" s="61">
        <f t="shared" si="17"/>
        <v>2.9531510982886795</v>
      </c>
    </row>
    <row r="26" spans="1:37" s="62" customFormat="1">
      <c r="A26" s="63" t="s">
        <v>298</v>
      </c>
      <c r="B26" s="63" t="s">
        <v>296</v>
      </c>
      <c r="C26" s="63" t="s">
        <v>214</v>
      </c>
      <c r="D26" s="63" t="s">
        <v>301</v>
      </c>
      <c r="E26" s="63" t="s">
        <v>82</v>
      </c>
      <c r="F26" s="63"/>
      <c r="G26" s="63"/>
      <c r="H26" s="63"/>
      <c r="I26" s="63"/>
      <c r="J26" s="63"/>
      <c r="K26" s="63"/>
      <c r="L26" s="63" t="s">
        <v>95</v>
      </c>
      <c r="M26" s="63" t="s">
        <v>216</v>
      </c>
      <c r="N26" s="63"/>
      <c r="O26" s="63"/>
      <c r="P26" s="63"/>
      <c r="Q26" s="63"/>
      <c r="R26" s="63"/>
      <c r="S26" s="63"/>
      <c r="T26" s="63"/>
      <c r="U26" s="63"/>
      <c r="V26" s="63">
        <v>1</v>
      </c>
      <c r="W26" s="63"/>
      <c r="X26" s="63" t="s">
        <v>111</v>
      </c>
      <c r="Y26" s="63">
        <f>SUM(Y25:Y25)</f>
        <v>7500000</v>
      </c>
      <c r="Z26" s="63">
        <f>SUM(Z25:Z25)</f>
        <v>9285810</v>
      </c>
      <c r="AA26" s="67">
        <f>Z26/Y26*100</f>
        <v>123.8108</v>
      </c>
      <c r="AB26" s="63">
        <f>SUM(AB25:AB25)</f>
        <v>9246138</v>
      </c>
      <c r="AC26" s="67">
        <f>Z26/AB26*100</f>
        <v>100.42906562718402</v>
      </c>
      <c r="AD26" s="63">
        <f>SUM(AD25:AD25)</f>
        <v>150000</v>
      </c>
      <c r="AE26" s="63">
        <f>SUM(AE25:AE25)</f>
        <v>274224</v>
      </c>
      <c r="AF26" s="63">
        <f>SUM(AF25:AF25)</f>
        <v>109860</v>
      </c>
      <c r="AG26" s="63">
        <f>SUM(AG25:AG25)</f>
        <v>384084</v>
      </c>
      <c r="AH26" s="67">
        <f>AE26/AD26*100</f>
        <v>182.816</v>
      </c>
      <c r="AI26" s="63">
        <f>SUM(AI25:AI25)</f>
        <v>239022</v>
      </c>
      <c r="AJ26" s="67">
        <f>AE26/AI26*100</f>
        <v>114.727514622085</v>
      </c>
      <c r="AK26" s="67">
        <f>AE26/Z26*100</f>
        <v>2.9531510982886795</v>
      </c>
    </row>
    <row r="27" spans="1:37" s="62" customFormat="1">
      <c r="A27" s="60" t="s">
        <v>298</v>
      </c>
      <c r="B27" s="60" t="s">
        <v>296</v>
      </c>
      <c r="C27" s="60" t="s">
        <v>213</v>
      </c>
      <c r="D27" s="60" t="s">
        <v>301</v>
      </c>
      <c r="E27" s="60" t="s">
        <v>82</v>
      </c>
      <c r="F27" s="60"/>
      <c r="G27" s="60"/>
      <c r="H27" s="60"/>
      <c r="I27" s="60"/>
      <c r="J27" s="60"/>
      <c r="K27" s="60"/>
      <c r="L27" s="60" t="s">
        <v>217</v>
      </c>
      <c r="M27" s="60" t="s">
        <v>215</v>
      </c>
      <c r="N27" s="60"/>
      <c r="O27" s="60"/>
      <c r="P27" s="60"/>
      <c r="Q27" s="60"/>
      <c r="R27" s="59" t="s">
        <v>265</v>
      </c>
      <c r="S27" s="60" t="s">
        <v>210</v>
      </c>
      <c r="T27" s="60"/>
      <c r="U27" s="60"/>
      <c r="V27" s="60">
        <v>0</v>
      </c>
      <c r="W27" s="60">
        <v>941000</v>
      </c>
      <c r="X27" s="60" t="s">
        <v>92</v>
      </c>
      <c r="Y27" s="60">
        <f>SUM(Y59)</f>
        <v>61400</v>
      </c>
      <c r="Z27" s="60">
        <v>61671</v>
      </c>
      <c r="AA27" s="61">
        <f>Z27/Y27*100</f>
        <v>100.4413680781759</v>
      </c>
      <c r="AB27" s="60">
        <v>60698</v>
      </c>
      <c r="AC27" s="61">
        <f>Z27/AB27*100</f>
        <v>101.6030182213582</v>
      </c>
      <c r="AD27" s="60">
        <v>-35318</v>
      </c>
      <c r="AE27" s="60">
        <v>-34602</v>
      </c>
      <c r="AF27" s="60">
        <v>96273</v>
      </c>
      <c r="AG27" s="60">
        <v>61671</v>
      </c>
      <c r="AH27" s="61">
        <f>AE27/AD27*100</f>
        <v>97.97270513619118</v>
      </c>
      <c r="AI27" s="60">
        <v>-33196</v>
      </c>
      <c r="AJ27" s="61">
        <f>AE27/AI27*100</f>
        <v>104.23545005422341</v>
      </c>
      <c r="AK27" s="61">
        <f>AE27/Z27*100</f>
        <v>-56.107408668580049</v>
      </c>
    </row>
    <row r="28" spans="1:37" s="62" customFormat="1">
      <c r="A28" s="63" t="s">
        <v>298</v>
      </c>
      <c r="B28" s="63" t="s">
        <v>296</v>
      </c>
      <c r="C28" s="63" t="s">
        <v>214</v>
      </c>
      <c r="D28" s="63" t="s">
        <v>301</v>
      </c>
      <c r="E28" s="63" t="s">
        <v>82</v>
      </c>
      <c r="F28" s="63"/>
      <c r="G28" s="63"/>
      <c r="H28" s="63"/>
      <c r="I28" s="63"/>
      <c r="J28" s="63"/>
      <c r="K28" s="63"/>
      <c r="L28" s="63" t="s">
        <v>95</v>
      </c>
      <c r="M28" s="63" t="s">
        <v>216</v>
      </c>
      <c r="N28" s="63"/>
      <c r="O28" s="63"/>
      <c r="P28" s="63"/>
      <c r="Q28" s="63"/>
      <c r="R28" s="63"/>
      <c r="S28" s="63"/>
      <c r="T28" s="63"/>
      <c r="U28" s="63"/>
      <c r="V28" s="63">
        <v>1</v>
      </c>
      <c r="W28" s="63"/>
      <c r="X28" s="63" t="s">
        <v>207</v>
      </c>
      <c r="Y28" s="63">
        <f>SUM(Y27:Y27)</f>
        <v>61400</v>
      </c>
      <c r="Z28" s="63">
        <f>SUM(Z27:Z27)</f>
        <v>61671</v>
      </c>
      <c r="AA28" s="67">
        <f>Z28/Y28*100</f>
        <v>100.4413680781759</v>
      </c>
      <c r="AB28" s="63">
        <f>SUM(AB27:AB27)</f>
        <v>60698</v>
      </c>
      <c r="AC28" s="67">
        <f>Z28/AB28*100</f>
        <v>101.6030182213582</v>
      </c>
      <c r="AD28" s="63">
        <f>SUM(AD27:AD27)</f>
        <v>-35318</v>
      </c>
      <c r="AE28" s="63">
        <f>SUM(AE27:AE27)</f>
        <v>-34602</v>
      </c>
      <c r="AF28" s="63">
        <f>SUM(AF27:AF27)</f>
        <v>96273</v>
      </c>
      <c r="AG28" s="63">
        <f>SUM(AG27:AG27)</f>
        <v>61671</v>
      </c>
      <c r="AH28" s="67">
        <f>AE28/AD28*100</f>
        <v>97.97270513619118</v>
      </c>
      <c r="AI28" s="63">
        <f>SUM(AI27:AI27)</f>
        <v>-33196</v>
      </c>
      <c r="AJ28" s="67">
        <f>AE28/AI28*100</f>
        <v>104.23545005422341</v>
      </c>
      <c r="AK28" s="67">
        <f t="shared" ref="AK28:AK30" si="22">AE28/Z28*100</f>
        <v>-56.107408668580049</v>
      </c>
    </row>
    <row r="29" spans="1:37" s="62" customFormat="1">
      <c r="A29" s="60" t="s">
        <v>298</v>
      </c>
      <c r="B29" s="60" t="s">
        <v>296</v>
      </c>
      <c r="C29" s="60" t="s">
        <v>213</v>
      </c>
      <c r="D29" s="60" t="s">
        <v>301</v>
      </c>
      <c r="E29" s="60" t="s">
        <v>82</v>
      </c>
      <c r="F29" s="60"/>
      <c r="G29" s="60"/>
      <c r="H29" s="60"/>
      <c r="I29" s="60"/>
      <c r="J29" s="60"/>
      <c r="K29" s="60"/>
      <c r="L29" s="60" t="s">
        <v>217</v>
      </c>
      <c r="M29" s="60" t="s">
        <v>215</v>
      </c>
      <c r="N29" s="60"/>
      <c r="O29" s="60"/>
      <c r="P29" s="60"/>
      <c r="Q29" s="60"/>
      <c r="R29" s="60"/>
      <c r="S29" s="60"/>
      <c r="T29" s="60"/>
      <c r="U29" s="60"/>
      <c r="V29" s="60">
        <v>1</v>
      </c>
      <c r="W29" s="60"/>
      <c r="X29" s="60"/>
      <c r="Y29" s="60">
        <f>Y26+Y28</f>
        <v>7561400</v>
      </c>
      <c r="Z29" s="60">
        <f>Z26+Z28</f>
        <v>9347481</v>
      </c>
      <c r="AA29" s="61">
        <f t="shared" ref="AA29" si="23">Z29/Y29*100</f>
        <v>123.62103578702357</v>
      </c>
      <c r="AB29" s="60">
        <f>AB26+AB28</f>
        <v>9306836</v>
      </c>
      <c r="AC29" s="61">
        <f t="shared" ref="AC29" si="24">Z29/AB29*100</f>
        <v>100.43672199660551</v>
      </c>
      <c r="AD29" s="60">
        <f>AD26+AD28</f>
        <v>114682</v>
      </c>
      <c r="AE29" s="60">
        <f>AE26+AE28</f>
        <v>239622</v>
      </c>
      <c r="AF29" s="60">
        <f>AF26+AF28</f>
        <v>206133</v>
      </c>
      <c r="AG29" s="60">
        <f>AG26+AG28</f>
        <v>445755</v>
      </c>
      <c r="AH29" s="61">
        <f t="shared" ref="AH29" si="25">AE29/AD29*100</f>
        <v>208.94473413438899</v>
      </c>
      <c r="AI29" s="60">
        <f>AI26+AI28</f>
        <v>205826</v>
      </c>
      <c r="AJ29" s="61">
        <f t="shared" ref="AJ29" si="26">AE29/AI29*100</f>
        <v>116.41969430489831</v>
      </c>
      <c r="AK29" s="61">
        <f t="shared" si="22"/>
        <v>2.5634927741495277</v>
      </c>
    </row>
    <row r="30" spans="1:37" s="62" customFormat="1">
      <c r="A30" s="63" t="s">
        <v>298</v>
      </c>
      <c r="B30" s="63" t="s">
        <v>296</v>
      </c>
      <c r="C30" s="63" t="s">
        <v>214</v>
      </c>
      <c r="D30" s="63" t="s">
        <v>301</v>
      </c>
      <c r="E30" s="63" t="s">
        <v>82</v>
      </c>
      <c r="F30" s="63"/>
      <c r="G30" s="63"/>
      <c r="H30" s="63"/>
      <c r="I30" s="63"/>
      <c r="J30" s="63"/>
      <c r="K30" s="63"/>
      <c r="L30" s="63" t="s">
        <v>225</v>
      </c>
      <c r="M30" s="63" t="s">
        <v>221</v>
      </c>
      <c r="N30" s="63"/>
      <c r="O30" s="63"/>
      <c r="P30" s="63"/>
      <c r="Q30" s="63"/>
      <c r="R30" s="63"/>
      <c r="S30" s="63"/>
      <c r="T30" s="63" t="s">
        <v>205</v>
      </c>
      <c r="U30" s="63" t="s">
        <v>206</v>
      </c>
      <c r="V30" s="63">
        <v>0</v>
      </c>
      <c r="W30" s="63">
        <v>940000</v>
      </c>
      <c r="X30" s="63" t="s">
        <v>111</v>
      </c>
      <c r="Y30" s="63">
        <f>SUM(Y62,Y65,Y68,Y71)</f>
        <v>10000000</v>
      </c>
      <c r="Z30" s="63">
        <f>SUM(Z62,Z65,Z68,Z71)</f>
        <v>12381080</v>
      </c>
      <c r="AA30" s="67">
        <f>Z30/Y30*100</f>
        <v>123.8108</v>
      </c>
      <c r="AB30" s="63">
        <f>SUM(AB62,AB65,AB68,AB71)</f>
        <v>12328184</v>
      </c>
      <c r="AC30" s="67">
        <f>Z30/AB30*100</f>
        <v>100.42906562718402</v>
      </c>
      <c r="AD30" s="63">
        <f>SUM(AD62,AD65,AD68,AD71)</f>
        <v>200000</v>
      </c>
      <c r="AE30" s="63">
        <f>SUM(AE62,AE65,AE68,AE71)</f>
        <v>365632</v>
      </c>
      <c r="AF30" s="63">
        <f>SUM(AF62,AF65,AF68,AF71)</f>
        <v>146480</v>
      </c>
      <c r="AG30" s="63">
        <f>SUM(AG62,AG65,AG68,AG71)</f>
        <v>512112</v>
      </c>
      <c r="AH30" s="67">
        <f>AE30/AD30*100</f>
        <v>182.816</v>
      </c>
      <c r="AI30" s="63">
        <f>SUM(AI62,AI65,AI68,AI71)</f>
        <v>318696</v>
      </c>
      <c r="AJ30" s="67">
        <f>AE30/AI30*100</f>
        <v>114.727514622085</v>
      </c>
      <c r="AK30" s="67">
        <f t="shared" si="22"/>
        <v>2.9531510982886795</v>
      </c>
    </row>
    <row r="31" spans="1:37" s="62" customFormat="1">
      <c r="A31" s="60" t="s">
        <v>298</v>
      </c>
      <c r="B31" s="60" t="s">
        <v>296</v>
      </c>
      <c r="C31" s="60" t="s">
        <v>213</v>
      </c>
      <c r="D31" s="60" t="s">
        <v>301</v>
      </c>
      <c r="E31" s="60" t="s">
        <v>82</v>
      </c>
      <c r="F31" s="60"/>
      <c r="G31" s="60"/>
      <c r="H31" s="60"/>
      <c r="I31" s="60"/>
      <c r="J31" s="60"/>
      <c r="K31" s="60"/>
      <c r="L31" s="60" t="s">
        <v>224</v>
      </c>
      <c r="M31" s="60" t="s">
        <v>220</v>
      </c>
      <c r="N31" s="60"/>
      <c r="O31" s="60"/>
      <c r="P31" s="60"/>
      <c r="Q31" s="60"/>
      <c r="R31" s="60"/>
      <c r="S31" s="60"/>
      <c r="T31" s="60"/>
      <c r="U31" s="60"/>
      <c r="V31" s="60">
        <v>1</v>
      </c>
      <c r="W31" s="60"/>
      <c r="X31" s="60" t="s">
        <v>91</v>
      </c>
      <c r="Y31" s="60">
        <f>SUM(Y30:Y30)</f>
        <v>10000000</v>
      </c>
      <c r="Z31" s="60">
        <f>SUM(Z30:Z30)</f>
        <v>12381080</v>
      </c>
      <c r="AA31" s="61">
        <f>Z31/Y31*100</f>
        <v>123.8108</v>
      </c>
      <c r="AB31" s="60">
        <f>SUM(AB30:AB30)</f>
        <v>12328184</v>
      </c>
      <c r="AC31" s="61">
        <f>Z31/AB31*100</f>
        <v>100.42906562718402</v>
      </c>
      <c r="AD31" s="60">
        <f>SUM(AD30:AD30)</f>
        <v>200000</v>
      </c>
      <c r="AE31" s="60">
        <f>SUM(AE30:AE30)</f>
        <v>365632</v>
      </c>
      <c r="AF31" s="60">
        <f>SUM(AF30:AF30)</f>
        <v>146480</v>
      </c>
      <c r="AG31" s="60">
        <f>SUM(AG30:AG30)</f>
        <v>512112</v>
      </c>
      <c r="AH31" s="61">
        <f>AE31/AD31*100</f>
        <v>182.816</v>
      </c>
      <c r="AI31" s="60">
        <f>SUM(AI30:AI30)</f>
        <v>318696</v>
      </c>
      <c r="AJ31" s="61">
        <f>AE31/AI31*100</f>
        <v>114.727514622085</v>
      </c>
      <c r="AK31" s="61">
        <f>AE31/Z31*100</f>
        <v>2.9531510982886795</v>
      </c>
    </row>
    <row r="32" spans="1:37" s="62" customFormat="1">
      <c r="A32" s="63" t="s">
        <v>298</v>
      </c>
      <c r="B32" s="63" t="s">
        <v>296</v>
      </c>
      <c r="C32" s="63" t="s">
        <v>214</v>
      </c>
      <c r="D32" s="63" t="s">
        <v>301</v>
      </c>
      <c r="E32" s="63" t="s">
        <v>82</v>
      </c>
      <c r="F32" s="63"/>
      <c r="G32" s="63"/>
      <c r="H32" s="63"/>
      <c r="I32" s="63"/>
      <c r="J32" s="63"/>
      <c r="K32" s="63"/>
      <c r="L32" s="63" t="s">
        <v>225</v>
      </c>
      <c r="M32" s="63" t="s">
        <v>221</v>
      </c>
      <c r="N32" s="63"/>
      <c r="O32" s="63"/>
      <c r="P32" s="63"/>
      <c r="Q32" s="63"/>
      <c r="R32" s="63"/>
      <c r="S32" s="63"/>
      <c r="T32" s="63"/>
      <c r="U32" s="63"/>
      <c r="V32" s="63">
        <v>1</v>
      </c>
      <c r="W32" s="63"/>
      <c r="X32" s="63"/>
      <c r="Y32" s="63">
        <f>Y31</f>
        <v>10000000</v>
      </c>
      <c r="Z32" s="63">
        <f>Z31</f>
        <v>12381080</v>
      </c>
      <c r="AA32" s="67">
        <f t="shared" ref="AA32" si="27">Z32/Y32*100</f>
        <v>123.8108</v>
      </c>
      <c r="AB32" s="63">
        <f>AB31</f>
        <v>12328184</v>
      </c>
      <c r="AC32" s="67">
        <f t="shared" ref="AC32" si="28">Z32/AB32*100</f>
        <v>100.42906562718402</v>
      </c>
      <c r="AD32" s="63">
        <f>AD31</f>
        <v>200000</v>
      </c>
      <c r="AE32" s="63">
        <f>AE31</f>
        <v>365632</v>
      </c>
      <c r="AF32" s="63">
        <f t="shared" ref="AF32:AG32" si="29">AF31</f>
        <v>146480</v>
      </c>
      <c r="AG32" s="63">
        <f t="shared" si="29"/>
        <v>512112</v>
      </c>
      <c r="AH32" s="67">
        <f t="shared" ref="AH32" si="30">AE32/AD32*100</f>
        <v>182.816</v>
      </c>
      <c r="AI32" s="63">
        <f>AI31</f>
        <v>318696</v>
      </c>
      <c r="AJ32" s="67">
        <f t="shared" ref="AJ32" si="31">AE32/AI32*100</f>
        <v>114.727514622085</v>
      </c>
      <c r="AK32" s="67">
        <f t="shared" ref="AK32:AK34" si="32">AE32/Z32*100</f>
        <v>2.9531510982886795</v>
      </c>
    </row>
    <row r="33" spans="1:37" s="62" customFormat="1">
      <c r="A33" s="60" t="s">
        <v>298</v>
      </c>
      <c r="B33" s="60" t="s">
        <v>296</v>
      </c>
      <c r="C33" s="60" t="s">
        <v>214</v>
      </c>
      <c r="D33" s="60" t="s">
        <v>301</v>
      </c>
      <c r="E33" s="60" t="s">
        <v>82</v>
      </c>
      <c r="F33" s="60"/>
      <c r="G33" s="60"/>
      <c r="H33" s="60"/>
      <c r="I33" s="60"/>
      <c r="J33" s="60"/>
      <c r="K33" s="60"/>
      <c r="L33" s="60"/>
      <c r="M33" s="60"/>
      <c r="N33" s="60"/>
      <c r="O33" s="60"/>
      <c r="P33" s="60"/>
      <c r="Q33" s="60"/>
      <c r="R33" s="60" t="s">
        <v>213</v>
      </c>
      <c r="S33" s="60" t="s">
        <v>262</v>
      </c>
      <c r="T33" s="60"/>
      <c r="U33" s="60"/>
      <c r="V33" s="60">
        <v>0</v>
      </c>
      <c r="W33" s="60">
        <v>941000</v>
      </c>
      <c r="X33" s="60" t="s">
        <v>92</v>
      </c>
      <c r="Y33" s="60">
        <f>SUM(Y74)</f>
        <v>2500000</v>
      </c>
      <c r="Z33" s="60">
        <f>SUM(Z74,Z77)</f>
        <v>6190540</v>
      </c>
      <c r="AA33" s="61">
        <f>Z33/Y33*100</f>
        <v>247.6216</v>
      </c>
      <c r="AB33" s="60">
        <f>SUM(AB74,AB77)</f>
        <v>6164092</v>
      </c>
      <c r="AC33" s="61">
        <f>Z33/AB33*100</f>
        <v>100.42906562718402</v>
      </c>
      <c r="AD33" s="60">
        <f t="shared" ref="AD33:AG34" si="33">SUM(AD74,AD77)</f>
        <v>100000</v>
      </c>
      <c r="AE33" s="60">
        <f t="shared" si="33"/>
        <v>182816</v>
      </c>
      <c r="AF33" s="60">
        <f t="shared" si="33"/>
        <v>73240</v>
      </c>
      <c r="AG33" s="60">
        <f t="shared" si="33"/>
        <v>256056</v>
      </c>
      <c r="AH33" s="61">
        <f>AE33/AD33*100</f>
        <v>182.816</v>
      </c>
      <c r="AI33" s="60">
        <f>SUM(AI74,AI77)</f>
        <v>159348</v>
      </c>
      <c r="AJ33" s="61">
        <f>AE33/AI33*100</f>
        <v>114.727514622085</v>
      </c>
      <c r="AK33" s="61">
        <f t="shared" si="32"/>
        <v>2.9531510982886795</v>
      </c>
    </row>
    <row r="34" spans="1:37" s="62" customFormat="1">
      <c r="A34" s="64" t="s">
        <v>298</v>
      </c>
      <c r="B34" s="64" t="s">
        <v>296</v>
      </c>
      <c r="C34" s="64" t="s">
        <v>214</v>
      </c>
      <c r="D34" s="64" t="s">
        <v>301</v>
      </c>
      <c r="E34" s="64" t="s">
        <v>82</v>
      </c>
      <c r="F34" s="64"/>
      <c r="G34" s="64"/>
      <c r="H34" s="64"/>
      <c r="I34" s="64"/>
      <c r="J34" s="64"/>
      <c r="K34" s="64"/>
      <c r="L34" s="64"/>
      <c r="M34" s="64"/>
      <c r="N34" s="64"/>
      <c r="O34" s="64"/>
      <c r="P34" s="64"/>
      <c r="Q34" s="64"/>
      <c r="R34" s="64" t="s">
        <v>197</v>
      </c>
      <c r="S34" s="64" t="s">
        <v>263</v>
      </c>
      <c r="T34" s="64"/>
      <c r="U34" s="64"/>
      <c r="V34" s="64">
        <v>0</v>
      </c>
      <c r="W34" s="64">
        <v>941000</v>
      </c>
      <c r="X34" s="64" t="s">
        <v>92</v>
      </c>
      <c r="Y34" s="64">
        <f>SUM(Y75)</f>
        <v>2500000</v>
      </c>
      <c r="Z34" s="64">
        <f>SUM(Z75,Z78)</f>
        <v>6190540</v>
      </c>
      <c r="AA34" s="65">
        <f>Z34/Y34*100</f>
        <v>247.6216</v>
      </c>
      <c r="AB34" s="64">
        <f>SUM(AB75,AB78)</f>
        <v>6164092</v>
      </c>
      <c r="AC34" s="65">
        <f>Z34/AB34*100</f>
        <v>100.42906562718402</v>
      </c>
      <c r="AD34" s="64">
        <f t="shared" si="33"/>
        <v>100000</v>
      </c>
      <c r="AE34" s="64">
        <f t="shared" si="33"/>
        <v>182816</v>
      </c>
      <c r="AF34" s="64">
        <f t="shared" si="33"/>
        <v>73240</v>
      </c>
      <c r="AG34" s="64">
        <f t="shared" si="33"/>
        <v>256056</v>
      </c>
      <c r="AH34" s="65">
        <f>AE34/AD34*100</f>
        <v>182.816</v>
      </c>
      <c r="AI34" s="64">
        <f>SUM(AI75,AI78)</f>
        <v>159348</v>
      </c>
      <c r="AJ34" s="65">
        <f>AE34/AI34*100</f>
        <v>114.727514622085</v>
      </c>
      <c r="AK34" s="65">
        <f t="shared" si="32"/>
        <v>2.9531510982886795</v>
      </c>
    </row>
    <row r="35" spans="1:37" s="62" customFormat="1">
      <c r="A35" s="59" t="s">
        <v>298</v>
      </c>
      <c r="B35" s="59" t="s">
        <v>296</v>
      </c>
      <c r="C35" s="59" t="s">
        <v>214</v>
      </c>
      <c r="D35" s="59" t="s">
        <v>301</v>
      </c>
      <c r="E35" s="59" t="s">
        <v>82</v>
      </c>
      <c r="F35" s="59"/>
      <c r="G35" s="59"/>
      <c r="H35" s="59"/>
      <c r="I35" s="59"/>
      <c r="J35" s="59"/>
      <c r="K35" s="59"/>
      <c r="L35" s="59"/>
      <c r="M35" s="59"/>
      <c r="N35" s="59"/>
      <c r="O35" s="59"/>
      <c r="P35" s="59"/>
      <c r="Q35" s="59"/>
      <c r="R35" s="59"/>
      <c r="S35" s="59"/>
      <c r="T35" s="59"/>
      <c r="U35" s="59"/>
      <c r="V35" s="59">
        <v>1</v>
      </c>
      <c r="W35" s="59"/>
      <c r="X35" s="59" t="s">
        <v>92</v>
      </c>
      <c r="Y35" s="59">
        <f>SUM(Y33:Y34)</f>
        <v>5000000</v>
      </c>
      <c r="Z35" s="59">
        <f>SUM(Z33:Z34)</f>
        <v>12381080</v>
      </c>
      <c r="AA35" s="72">
        <f>Z35/Y35*100</f>
        <v>247.6216</v>
      </c>
      <c r="AB35" s="59">
        <f>SUM(AB33:AB34)</f>
        <v>12328184</v>
      </c>
      <c r="AC35" s="72">
        <f>Z35/AB35*100</f>
        <v>100.42906562718402</v>
      </c>
      <c r="AD35" s="59">
        <f>SUM(AD33:AD34)</f>
        <v>200000</v>
      </c>
      <c r="AE35" s="59">
        <f>SUM(AE33:AE34)</f>
        <v>365632</v>
      </c>
      <c r="AF35" s="59">
        <f>SUM(AF33:AF34)</f>
        <v>146480</v>
      </c>
      <c r="AG35" s="59">
        <f>SUM(AG33:AG34)</f>
        <v>512112</v>
      </c>
      <c r="AH35" s="72">
        <f>AE35/AD35*100</f>
        <v>182.816</v>
      </c>
      <c r="AI35" s="59">
        <f>SUM(AI33:AI34)</f>
        <v>318696</v>
      </c>
      <c r="AJ35" s="72">
        <f>AE35/AI35*100</f>
        <v>114.727514622085</v>
      </c>
      <c r="AK35" s="72">
        <f>AE35/Z35*100</f>
        <v>2.9531510982886795</v>
      </c>
    </row>
    <row r="36" spans="1:37" s="62" customFormat="1">
      <c r="A36" s="64" t="s">
        <v>298</v>
      </c>
      <c r="B36" s="64" t="s">
        <v>296</v>
      </c>
      <c r="C36" s="64" t="s">
        <v>213</v>
      </c>
      <c r="D36" s="64" t="s">
        <v>301</v>
      </c>
      <c r="E36" s="64" t="s">
        <v>82</v>
      </c>
      <c r="F36" s="64"/>
      <c r="G36" s="64"/>
      <c r="H36" s="64"/>
      <c r="I36" s="64"/>
      <c r="J36" s="64"/>
      <c r="K36" s="64"/>
      <c r="L36" s="64"/>
      <c r="M36" s="64"/>
      <c r="N36" s="64"/>
      <c r="O36" s="64"/>
      <c r="P36" s="64"/>
      <c r="Q36" s="64"/>
      <c r="R36" s="64"/>
      <c r="S36" s="64"/>
      <c r="T36" s="64"/>
      <c r="U36" s="64"/>
      <c r="V36" s="64">
        <v>1</v>
      </c>
      <c r="W36" s="64"/>
      <c r="X36" s="64"/>
      <c r="Y36" s="64">
        <f>Y35</f>
        <v>5000000</v>
      </c>
      <c r="Z36" s="64">
        <f>Z35</f>
        <v>12381080</v>
      </c>
      <c r="AA36" s="65">
        <f t="shared" ref="AA36" si="34">Z36/Y36*100</f>
        <v>247.6216</v>
      </c>
      <c r="AB36" s="64">
        <f>AB35</f>
        <v>12328184</v>
      </c>
      <c r="AC36" s="65">
        <f t="shared" ref="AC36" si="35">Z36/AB36*100</f>
        <v>100.42906562718402</v>
      </c>
      <c r="AD36" s="64">
        <f>AD35</f>
        <v>200000</v>
      </c>
      <c r="AE36" s="64">
        <f>AE35</f>
        <v>365632</v>
      </c>
      <c r="AF36" s="64">
        <f t="shared" ref="AF36:AG36" si="36">AF35</f>
        <v>146480</v>
      </c>
      <c r="AG36" s="64">
        <f t="shared" si="36"/>
        <v>512112</v>
      </c>
      <c r="AH36" s="65">
        <f t="shared" ref="AH36" si="37">AE36/AD36*100</f>
        <v>182.816</v>
      </c>
      <c r="AI36" s="64">
        <f>AI35</f>
        <v>318696</v>
      </c>
      <c r="AJ36" s="65">
        <f t="shared" ref="AJ36" si="38">AE36/AI36*100</f>
        <v>114.727514622085</v>
      </c>
      <c r="AK36" s="65">
        <f t="shared" ref="AK36" si="39">AE36/Z36*100</f>
        <v>2.9531510982886795</v>
      </c>
    </row>
    <row r="37" spans="1:37" ht="14.4">
      <c r="I37" s="46" t="s">
        <v>93</v>
      </c>
      <c r="AA37" s="73"/>
      <c r="AC37" s="73"/>
      <c r="AH37" s="73"/>
      <c r="AJ37" s="73"/>
      <c r="AK37" s="73"/>
    </row>
    <row r="38" spans="1:37" s="62" customFormat="1">
      <c r="A38" s="63" t="s">
        <v>298</v>
      </c>
      <c r="B38" s="63" t="s">
        <v>296</v>
      </c>
      <c r="C38" s="63" t="s">
        <v>198</v>
      </c>
      <c r="D38" s="63" t="s">
        <v>324</v>
      </c>
      <c r="E38" s="63" t="s">
        <v>82</v>
      </c>
      <c r="F38" s="63"/>
      <c r="G38" s="63"/>
      <c r="H38" s="63"/>
      <c r="I38" s="63"/>
      <c r="J38" s="63"/>
      <c r="K38" s="63"/>
      <c r="L38" s="63" t="s">
        <v>223</v>
      </c>
      <c r="M38" s="63" t="s">
        <v>219</v>
      </c>
      <c r="N38" s="63" t="s">
        <v>223</v>
      </c>
      <c r="O38" s="63" t="s">
        <v>219</v>
      </c>
      <c r="P38" s="63" t="s">
        <v>256</v>
      </c>
      <c r="Q38" s="63" t="s">
        <v>258</v>
      </c>
      <c r="R38" s="63"/>
      <c r="S38" s="63"/>
      <c r="T38" s="63" t="s">
        <v>205</v>
      </c>
      <c r="U38" s="63" t="s">
        <v>206</v>
      </c>
      <c r="V38" s="63">
        <v>0</v>
      </c>
      <c r="W38" s="63">
        <v>940000</v>
      </c>
      <c r="X38" s="63" t="s">
        <v>111</v>
      </c>
      <c r="Y38" s="63">
        <v>2500000</v>
      </c>
      <c r="Z38" s="63">
        <v>3095270</v>
      </c>
      <c r="AA38" s="67">
        <f>Z38/Y38*100</f>
        <v>123.8108</v>
      </c>
      <c r="AB38" s="63">
        <v>3082046</v>
      </c>
      <c r="AC38" s="67">
        <f>Z38/AB38*100</f>
        <v>100.42906562718402</v>
      </c>
      <c r="AD38" s="63">
        <v>50000</v>
      </c>
      <c r="AE38" s="63">
        <v>91408</v>
      </c>
      <c r="AF38" s="63">
        <v>36620</v>
      </c>
      <c r="AG38" s="63">
        <v>128028</v>
      </c>
      <c r="AH38" s="67">
        <f>AE38/AD38*100</f>
        <v>182.816</v>
      </c>
      <c r="AI38" s="63">
        <v>79674</v>
      </c>
      <c r="AJ38" s="67">
        <f>AE38/AI38*100</f>
        <v>114.727514622085</v>
      </c>
      <c r="AK38" s="67">
        <f t="shared" ref="AK38" si="40">AE38/Z38*100</f>
        <v>2.9531510982886795</v>
      </c>
    </row>
    <row r="39" spans="1:37" s="62" customFormat="1">
      <c r="A39" s="60" t="s">
        <v>298</v>
      </c>
      <c r="B39" s="60" t="s">
        <v>296</v>
      </c>
      <c r="C39" s="60" t="s">
        <v>197</v>
      </c>
      <c r="D39" s="60" t="s">
        <v>324</v>
      </c>
      <c r="E39" s="60" t="s">
        <v>82</v>
      </c>
      <c r="F39" s="60"/>
      <c r="G39" s="60"/>
      <c r="H39" s="60"/>
      <c r="I39" s="60"/>
      <c r="J39" s="60"/>
      <c r="K39" s="60"/>
      <c r="L39" s="60" t="s">
        <v>222</v>
      </c>
      <c r="M39" s="60" t="s">
        <v>218</v>
      </c>
      <c r="N39" s="60" t="s">
        <v>222</v>
      </c>
      <c r="O39" s="60" t="s">
        <v>218</v>
      </c>
      <c r="P39" s="60" t="s">
        <v>256</v>
      </c>
      <c r="Q39" s="60" t="s">
        <v>258</v>
      </c>
      <c r="R39" s="60"/>
      <c r="S39" s="60"/>
      <c r="T39" s="60"/>
      <c r="U39" s="60"/>
      <c r="V39" s="60">
        <v>1</v>
      </c>
      <c r="W39" s="60"/>
      <c r="X39" s="60" t="s">
        <v>91</v>
      </c>
      <c r="Y39" s="60">
        <f>SUM(Y38:Y38)</f>
        <v>2500000</v>
      </c>
      <c r="Z39" s="60">
        <f>SUM(Z38:Z38)</f>
        <v>3095270</v>
      </c>
      <c r="AA39" s="61">
        <f>Z39/Y39*100</f>
        <v>123.8108</v>
      </c>
      <c r="AB39" s="60">
        <f>SUM(AB38:AB38)</f>
        <v>3082046</v>
      </c>
      <c r="AC39" s="61">
        <f>Z39/AB39*100</f>
        <v>100.42906562718402</v>
      </c>
      <c r="AD39" s="60">
        <f>SUM(AD38:AD38)</f>
        <v>50000</v>
      </c>
      <c r="AE39" s="60">
        <f>SUM(AE38:AE38)</f>
        <v>91408</v>
      </c>
      <c r="AF39" s="60">
        <f>SUM(AF38:AF38)</f>
        <v>36620</v>
      </c>
      <c r="AG39" s="60">
        <f>SUM(AG38:AG38)</f>
        <v>128028</v>
      </c>
      <c r="AH39" s="61">
        <f>AE39/AD39*100</f>
        <v>182.816</v>
      </c>
      <c r="AI39" s="60">
        <f>SUM(AI38:AI38)</f>
        <v>79674</v>
      </c>
      <c r="AJ39" s="61">
        <f>AE39/AI39*100</f>
        <v>114.727514622085</v>
      </c>
      <c r="AK39" s="61">
        <f>AE39/Z39*100</f>
        <v>2.9531510982886795</v>
      </c>
    </row>
    <row r="40" spans="1:37" s="62" customFormat="1">
      <c r="A40" s="63" t="s">
        <v>298</v>
      </c>
      <c r="B40" s="63" t="s">
        <v>296</v>
      </c>
      <c r="C40" s="63" t="s">
        <v>197</v>
      </c>
      <c r="D40" s="63" t="s">
        <v>324</v>
      </c>
      <c r="E40" s="63" t="s">
        <v>82</v>
      </c>
      <c r="F40" s="63"/>
      <c r="G40" s="63"/>
      <c r="H40" s="63"/>
      <c r="I40" s="63"/>
      <c r="J40" s="63"/>
      <c r="K40" s="63"/>
      <c r="L40" s="63" t="s">
        <v>223</v>
      </c>
      <c r="M40" s="63" t="s">
        <v>219</v>
      </c>
      <c r="N40" s="63" t="s">
        <v>223</v>
      </c>
      <c r="O40" s="63" t="s">
        <v>219</v>
      </c>
      <c r="P40" s="63" t="s">
        <v>256</v>
      </c>
      <c r="Q40" s="63" t="s">
        <v>258</v>
      </c>
      <c r="R40" s="63"/>
      <c r="S40" s="63"/>
      <c r="T40" s="63"/>
      <c r="U40" s="63"/>
      <c r="V40" s="63">
        <v>1</v>
      </c>
      <c r="W40" s="63"/>
      <c r="X40" s="63"/>
      <c r="Y40" s="63">
        <f>Y39</f>
        <v>2500000</v>
      </c>
      <c r="Z40" s="63">
        <f>Z39</f>
        <v>3095270</v>
      </c>
      <c r="AA40" s="67">
        <f>Z40/Y40*100</f>
        <v>123.8108</v>
      </c>
      <c r="AB40" s="63">
        <f>AB39</f>
        <v>3082046</v>
      </c>
      <c r="AC40" s="67">
        <f>Z40/AB40*100</f>
        <v>100.42906562718402</v>
      </c>
      <c r="AD40" s="63">
        <f>AD39</f>
        <v>50000</v>
      </c>
      <c r="AE40" s="63">
        <f>AE39</f>
        <v>91408</v>
      </c>
      <c r="AF40" s="63">
        <f>AF39</f>
        <v>36620</v>
      </c>
      <c r="AG40" s="63">
        <f>AG39</f>
        <v>128028</v>
      </c>
      <c r="AH40" s="67">
        <f>AE40/AD40*100</f>
        <v>182.816</v>
      </c>
      <c r="AI40" s="63">
        <f>AI39</f>
        <v>79674</v>
      </c>
      <c r="AJ40" s="67">
        <f>AE40/AI40*100</f>
        <v>114.727514622085</v>
      </c>
      <c r="AK40" s="67">
        <f t="shared" ref="AK40" si="41">AE40/Z40*100</f>
        <v>2.9531510982886795</v>
      </c>
    </row>
    <row r="41" spans="1:37" s="62" customFormat="1">
      <c r="A41" s="60" t="s">
        <v>298</v>
      </c>
      <c r="B41" s="60" t="s">
        <v>296</v>
      </c>
      <c r="C41" s="60" t="s">
        <v>197</v>
      </c>
      <c r="D41" s="60" t="s">
        <v>324</v>
      </c>
      <c r="E41" s="60" t="s">
        <v>82</v>
      </c>
      <c r="F41" s="60"/>
      <c r="G41" s="60"/>
      <c r="H41" s="60"/>
      <c r="I41" s="60"/>
      <c r="J41" s="60"/>
      <c r="K41" s="60"/>
      <c r="L41" s="60" t="s">
        <v>223</v>
      </c>
      <c r="M41" s="60" t="s">
        <v>219</v>
      </c>
      <c r="N41" s="60" t="s">
        <v>235</v>
      </c>
      <c r="O41" s="60" t="s">
        <v>227</v>
      </c>
      <c r="P41" s="60" t="s">
        <v>256</v>
      </c>
      <c r="Q41" s="60" t="s">
        <v>258</v>
      </c>
      <c r="R41" s="60"/>
      <c r="S41" s="60"/>
      <c r="T41" s="60" t="s">
        <v>205</v>
      </c>
      <c r="U41" s="60" t="s">
        <v>206</v>
      </c>
      <c r="V41" s="60">
        <v>0</v>
      </c>
      <c r="W41" s="60">
        <v>940000</v>
      </c>
      <c r="X41" s="60" t="s">
        <v>111</v>
      </c>
      <c r="Y41" s="60">
        <v>2500000</v>
      </c>
      <c r="Z41" s="60">
        <v>3095270</v>
      </c>
      <c r="AA41" s="61">
        <f>Z41/Y41*100</f>
        <v>123.8108</v>
      </c>
      <c r="AB41" s="60">
        <v>3082046</v>
      </c>
      <c r="AC41" s="61">
        <f>Z41/AB41*100</f>
        <v>100.42906562718402</v>
      </c>
      <c r="AD41" s="60">
        <v>50000</v>
      </c>
      <c r="AE41" s="60">
        <v>91408</v>
      </c>
      <c r="AF41" s="60">
        <v>36620</v>
      </c>
      <c r="AG41" s="60">
        <v>128028</v>
      </c>
      <c r="AH41" s="61">
        <f>AE41/AD41*100</f>
        <v>182.816</v>
      </c>
      <c r="AI41" s="60">
        <v>79674</v>
      </c>
      <c r="AJ41" s="61">
        <f>AE41/AI41*100</f>
        <v>114.727514622085</v>
      </c>
      <c r="AK41" s="61">
        <f>AE41/Z41*100</f>
        <v>2.9531510982886795</v>
      </c>
    </row>
    <row r="42" spans="1:37" s="62" customFormat="1">
      <c r="A42" s="63" t="s">
        <v>298</v>
      </c>
      <c r="B42" s="63" t="s">
        <v>296</v>
      </c>
      <c r="C42" s="63" t="s">
        <v>197</v>
      </c>
      <c r="D42" s="63" t="s">
        <v>324</v>
      </c>
      <c r="E42" s="63" t="s">
        <v>82</v>
      </c>
      <c r="F42" s="63"/>
      <c r="G42" s="63"/>
      <c r="H42" s="63"/>
      <c r="I42" s="63"/>
      <c r="J42" s="63"/>
      <c r="K42" s="63"/>
      <c r="L42" s="63" t="s">
        <v>223</v>
      </c>
      <c r="M42" s="63" t="s">
        <v>219</v>
      </c>
      <c r="N42" s="63" t="s">
        <v>235</v>
      </c>
      <c r="O42" s="63" t="s">
        <v>227</v>
      </c>
      <c r="P42" s="63" t="s">
        <v>256</v>
      </c>
      <c r="Q42" s="63" t="s">
        <v>258</v>
      </c>
      <c r="R42" s="63"/>
      <c r="S42" s="63"/>
      <c r="T42" s="63"/>
      <c r="U42" s="63"/>
      <c r="V42" s="63">
        <v>1</v>
      </c>
      <c r="W42" s="63"/>
      <c r="X42" s="63" t="s">
        <v>111</v>
      </c>
      <c r="Y42" s="63">
        <f>SUM(Y41:Y41)</f>
        <v>2500000</v>
      </c>
      <c r="Z42" s="63">
        <f>SUM(Z41:Z41)</f>
        <v>3095270</v>
      </c>
      <c r="AA42" s="67">
        <f>Z42/Y42*100</f>
        <v>123.8108</v>
      </c>
      <c r="AB42" s="63">
        <f>SUM(AB41:AB41)</f>
        <v>3082046</v>
      </c>
      <c r="AC42" s="67">
        <f>Z42/AB42*100</f>
        <v>100.42906562718402</v>
      </c>
      <c r="AD42" s="63">
        <f>SUM(AD41:AD41)</f>
        <v>50000</v>
      </c>
      <c r="AE42" s="63">
        <f>SUM(AE41:AE41)</f>
        <v>91408</v>
      </c>
      <c r="AF42" s="63">
        <f>SUM(AF41:AF41)</f>
        <v>36620</v>
      </c>
      <c r="AG42" s="63">
        <f>SUM(AG41:AG41)</f>
        <v>128028</v>
      </c>
      <c r="AH42" s="67">
        <f>AE42/AD42*100</f>
        <v>182.816</v>
      </c>
      <c r="AI42" s="63">
        <f>SUM(AI41:AI41)</f>
        <v>79674</v>
      </c>
      <c r="AJ42" s="67">
        <f>AE42/AI42*100</f>
        <v>114.727514622085</v>
      </c>
      <c r="AK42" s="67">
        <f>AE42/Z42*100</f>
        <v>2.9531510982886795</v>
      </c>
    </row>
    <row r="43" spans="1:37" s="62" customFormat="1">
      <c r="A43" s="60" t="s">
        <v>298</v>
      </c>
      <c r="B43" s="60" t="s">
        <v>296</v>
      </c>
      <c r="C43" s="60" t="s">
        <v>197</v>
      </c>
      <c r="D43" s="60" t="s">
        <v>324</v>
      </c>
      <c r="E43" s="60" t="s">
        <v>82</v>
      </c>
      <c r="F43" s="60"/>
      <c r="G43" s="60"/>
      <c r="H43" s="60"/>
      <c r="I43" s="60"/>
      <c r="J43" s="60"/>
      <c r="K43" s="60"/>
      <c r="L43" s="60" t="s">
        <v>222</v>
      </c>
      <c r="M43" s="60" t="s">
        <v>218</v>
      </c>
      <c r="N43" s="60" t="s">
        <v>234</v>
      </c>
      <c r="O43" s="60" t="s">
        <v>226</v>
      </c>
      <c r="P43" s="60" t="s">
        <v>256</v>
      </c>
      <c r="Q43" s="60" t="s">
        <v>258</v>
      </c>
      <c r="R43" s="60"/>
      <c r="S43" s="60"/>
      <c r="T43" s="60"/>
      <c r="U43" s="60"/>
      <c r="V43" s="60">
        <v>1</v>
      </c>
      <c r="W43" s="60"/>
      <c r="X43" s="60"/>
      <c r="Y43" s="60">
        <f>Y42</f>
        <v>2500000</v>
      </c>
      <c r="Z43" s="60">
        <f>Z42</f>
        <v>3095270</v>
      </c>
      <c r="AA43" s="61">
        <f t="shared" ref="AA43" si="42">Z43/Y43*100</f>
        <v>123.8108</v>
      </c>
      <c r="AB43" s="60">
        <f>AB42</f>
        <v>3082046</v>
      </c>
      <c r="AC43" s="61">
        <f t="shared" ref="AC43" si="43">Z43/AB43*100</f>
        <v>100.42906562718402</v>
      </c>
      <c r="AD43" s="60">
        <f>AD42</f>
        <v>50000</v>
      </c>
      <c r="AE43" s="60">
        <f>AE42</f>
        <v>91408</v>
      </c>
      <c r="AF43" s="60">
        <f>AF42</f>
        <v>36620</v>
      </c>
      <c r="AG43" s="60">
        <f>AG42</f>
        <v>128028</v>
      </c>
      <c r="AH43" s="61">
        <f t="shared" ref="AH43" si="44">AE43/AD43*100</f>
        <v>182.816</v>
      </c>
      <c r="AI43" s="60">
        <f>AI42</f>
        <v>79674</v>
      </c>
      <c r="AJ43" s="61">
        <f t="shared" ref="AJ43" si="45">AE43/AI43*100</f>
        <v>114.727514622085</v>
      </c>
      <c r="AK43" s="61">
        <f t="shared" ref="AK43" si="46">AE43/Z43*100</f>
        <v>2.9531510982886795</v>
      </c>
    </row>
    <row r="44" spans="1:37" s="62" customFormat="1">
      <c r="A44" s="63" t="s">
        <v>298</v>
      </c>
      <c r="B44" s="63" t="s">
        <v>296</v>
      </c>
      <c r="C44" s="63" t="s">
        <v>197</v>
      </c>
      <c r="D44" s="63" t="s">
        <v>324</v>
      </c>
      <c r="E44" s="63" t="s">
        <v>82</v>
      </c>
      <c r="F44" s="63"/>
      <c r="G44" s="63"/>
      <c r="H44" s="63"/>
      <c r="I44" s="63"/>
      <c r="J44" s="63"/>
      <c r="K44" s="63"/>
      <c r="L44" s="63" t="s">
        <v>223</v>
      </c>
      <c r="M44" s="63" t="s">
        <v>219</v>
      </c>
      <c r="N44" s="63" t="s">
        <v>237</v>
      </c>
      <c r="O44" s="63" t="s">
        <v>229</v>
      </c>
      <c r="P44" s="63" t="s">
        <v>256</v>
      </c>
      <c r="Q44" s="63" t="s">
        <v>258</v>
      </c>
      <c r="R44" s="63"/>
      <c r="S44" s="63"/>
      <c r="T44" s="63" t="s">
        <v>205</v>
      </c>
      <c r="U44" s="63" t="s">
        <v>206</v>
      </c>
      <c r="V44" s="63">
        <v>0</v>
      </c>
      <c r="W44" s="63">
        <v>940000</v>
      </c>
      <c r="X44" s="63" t="s">
        <v>111</v>
      </c>
      <c r="Y44" s="63">
        <v>2500000</v>
      </c>
      <c r="Z44" s="63">
        <v>3095270</v>
      </c>
      <c r="AA44" s="67">
        <f>Z44/Y44*100</f>
        <v>123.8108</v>
      </c>
      <c r="AB44" s="63">
        <v>3082046</v>
      </c>
      <c r="AC44" s="67">
        <f>Z44/AB44*100</f>
        <v>100.42906562718402</v>
      </c>
      <c r="AD44" s="63">
        <v>50000</v>
      </c>
      <c r="AE44" s="63">
        <v>91408</v>
      </c>
      <c r="AF44" s="63">
        <v>36620</v>
      </c>
      <c r="AG44" s="63">
        <v>128028</v>
      </c>
      <c r="AH44" s="67">
        <f>AE44/AD44*100</f>
        <v>182.816</v>
      </c>
      <c r="AI44" s="63">
        <v>79674</v>
      </c>
      <c r="AJ44" s="67">
        <f>AE44/AI44*100</f>
        <v>114.727514622085</v>
      </c>
      <c r="AK44" s="67">
        <f t="shared" ref="AK44:AK49" si="47">AE44/Z44*100</f>
        <v>2.9531510982886795</v>
      </c>
    </row>
    <row r="45" spans="1:37" s="62" customFormat="1">
      <c r="A45" s="60" t="s">
        <v>298</v>
      </c>
      <c r="B45" s="60" t="s">
        <v>296</v>
      </c>
      <c r="C45" s="60" t="s">
        <v>197</v>
      </c>
      <c r="D45" s="60" t="s">
        <v>324</v>
      </c>
      <c r="E45" s="60" t="s">
        <v>82</v>
      </c>
      <c r="F45" s="60"/>
      <c r="G45" s="60"/>
      <c r="H45" s="60"/>
      <c r="I45" s="60"/>
      <c r="J45" s="60"/>
      <c r="K45" s="60"/>
      <c r="L45" s="60" t="s">
        <v>222</v>
      </c>
      <c r="M45" s="60" t="s">
        <v>218</v>
      </c>
      <c r="N45" s="60" t="s">
        <v>236</v>
      </c>
      <c r="O45" s="60" t="s">
        <v>228</v>
      </c>
      <c r="P45" s="60" t="s">
        <v>256</v>
      </c>
      <c r="Q45" s="60" t="s">
        <v>258</v>
      </c>
      <c r="R45" s="60"/>
      <c r="S45" s="60"/>
      <c r="T45" s="60"/>
      <c r="U45" s="60"/>
      <c r="V45" s="60">
        <v>1</v>
      </c>
      <c r="W45" s="60"/>
      <c r="X45" s="60" t="s">
        <v>91</v>
      </c>
      <c r="Y45" s="60">
        <f>SUM(Y44:Y44)</f>
        <v>2500000</v>
      </c>
      <c r="Z45" s="60">
        <f>SUM(Z44:Z44)</f>
        <v>3095270</v>
      </c>
      <c r="AA45" s="61">
        <f>Z45/Y45*100</f>
        <v>123.8108</v>
      </c>
      <c r="AB45" s="60">
        <f>SUM(AB44:AB44)</f>
        <v>3082046</v>
      </c>
      <c r="AC45" s="61">
        <f>Z45/AB45*100</f>
        <v>100.42906562718402</v>
      </c>
      <c r="AD45" s="60">
        <f>SUM(AD44:AD44)</f>
        <v>50000</v>
      </c>
      <c r="AE45" s="60">
        <f>SUM(AE44:AE44)</f>
        <v>91408</v>
      </c>
      <c r="AF45" s="60">
        <f>SUM(AF44:AF44)</f>
        <v>36620</v>
      </c>
      <c r="AG45" s="60">
        <f>SUM(AG44:AG44)</f>
        <v>128028</v>
      </c>
      <c r="AH45" s="61">
        <f>AE45/AD45*100</f>
        <v>182.816</v>
      </c>
      <c r="AI45" s="60">
        <f>SUM(AI44:AI44)</f>
        <v>79674</v>
      </c>
      <c r="AJ45" s="61">
        <f>AE45/AI45*100</f>
        <v>114.727514622085</v>
      </c>
      <c r="AK45" s="61">
        <f t="shared" si="47"/>
        <v>2.9531510982886795</v>
      </c>
    </row>
    <row r="46" spans="1:37" s="62" customFormat="1">
      <c r="A46" s="63" t="s">
        <v>298</v>
      </c>
      <c r="B46" s="63" t="s">
        <v>296</v>
      </c>
      <c r="C46" s="63" t="s">
        <v>197</v>
      </c>
      <c r="D46" s="63" t="s">
        <v>324</v>
      </c>
      <c r="E46" s="63" t="s">
        <v>82</v>
      </c>
      <c r="F46" s="63"/>
      <c r="G46" s="63"/>
      <c r="H46" s="63"/>
      <c r="I46" s="63"/>
      <c r="J46" s="63"/>
      <c r="K46" s="63"/>
      <c r="L46" s="63" t="s">
        <v>223</v>
      </c>
      <c r="M46" s="63" t="s">
        <v>219</v>
      </c>
      <c r="N46" s="63" t="s">
        <v>237</v>
      </c>
      <c r="O46" s="63" t="s">
        <v>229</v>
      </c>
      <c r="P46" s="63" t="s">
        <v>256</v>
      </c>
      <c r="Q46" s="63" t="s">
        <v>258</v>
      </c>
      <c r="R46" s="63"/>
      <c r="S46" s="63"/>
      <c r="T46" s="63"/>
      <c r="U46" s="63"/>
      <c r="V46" s="63">
        <v>1</v>
      </c>
      <c r="W46" s="63"/>
      <c r="X46" s="63"/>
      <c r="Y46" s="63">
        <f>Y45</f>
        <v>2500000</v>
      </c>
      <c r="Z46" s="63">
        <f>Z45</f>
        <v>3095270</v>
      </c>
      <c r="AA46" s="67">
        <f t="shared" ref="AA46" si="48">Z46/Y46*100</f>
        <v>123.8108</v>
      </c>
      <c r="AB46" s="63">
        <f>AB45</f>
        <v>3082046</v>
      </c>
      <c r="AC46" s="67">
        <f t="shared" ref="AC46" si="49">Z46/AB46*100</f>
        <v>100.42906562718402</v>
      </c>
      <c r="AD46" s="63">
        <f>AD45</f>
        <v>50000</v>
      </c>
      <c r="AE46" s="63">
        <f>AE45</f>
        <v>91408</v>
      </c>
      <c r="AF46" s="63">
        <f>AF45</f>
        <v>36620</v>
      </c>
      <c r="AG46" s="63">
        <f>AG45</f>
        <v>128028</v>
      </c>
      <c r="AH46" s="67">
        <f t="shared" ref="AH46" si="50">AE46/AD46*100</f>
        <v>182.816</v>
      </c>
      <c r="AI46" s="63">
        <f>AI45</f>
        <v>79674</v>
      </c>
      <c r="AJ46" s="67">
        <f t="shared" ref="AJ46" si="51">AE46/AI46*100</f>
        <v>114.727514622085</v>
      </c>
      <c r="AK46" s="67">
        <f t="shared" si="47"/>
        <v>2.9531510982886795</v>
      </c>
    </row>
    <row r="47" spans="1:37" s="62" customFormat="1">
      <c r="A47" s="60" t="s">
        <v>298</v>
      </c>
      <c r="B47" s="60" t="s">
        <v>296</v>
      </c>
      <c r="C47" s="60" t="s">
        <v>197</v>
      </c>
      <c r="D47" s="60" t="s">
        <v>324</v>
      </c>
      <c r="E47" s="60" t="s">
        <v>82</v>
      </c>
      <c r="F47" s="60"/>
      <c r="G47" s="60"/>
      <c r="H47" s="60"/>
      <c r="I47" s="60"/>
      <c r="J47" s="60"/>
      <c r="K47" s="60"/>
      <c r="L47" s="60" t="s">
        <v>223</v>
      </c>
      <c r="M47" s="60" t="s">
        <v>219</v>
      </c>
      <c r="N47" s="60" t="s">
        <v>264</v>
      </c>
      <c r="O47" s="60" t="s">
        <v>212</v>
      </c>
      <c r="P47" s="60" t="s">
        <v>256</v>
      </c>
      <c r="Q47" s="60" t="s">
        <v>258</v>
      </c>
      <c r="R47" s="60" t="s">
        <v>264</v>
      </c>
      <c r="S47" s="60" t="s">
        <v>212</v>
      </c>
      <c r="T47" s="60"/>
      <c r="U47" s="60"/>
      <c r="V47" s="60">
        <v>0</v>
      </c>
      <c r="W47" s="60">
        <v>941000</v>
      </c>
      <c r="X47" s="60" t="s">
        <v>207</v>
      </c>
      <c r="Y47" s="60">
        <v>279463</v>
      </c>
      <c r="Z47" s="60">
        <v>268638</v>
      </c>
      <c r="AA47" s="61">
        <f t="shared" ref="AA47" si="52">Z47/Y47*100</f>
        <v>96.126499751308756</v>
      </c>
      <c r="AB47" s="60">
        <v>267739</v>
      </c>
      <c r="AC47" s="61">
        <f t="shared" ref="AC47" si="53">Z47/AB47*100</f>
        <v>100.33577476572333</v>
      </c>
      <c r="AD47" s="60">
        <v>30903</v>
      </c>
      <c r="AE47" s="60">
        <v>41792</v>
      </c>
      <c r="AF47" s="60">
        <v>226845</v>
      </c>
      <c r="AG47" s="60">
        <v>268637</v>
      </c>
      <c r="AH47" s="61">
        <f t="shared" ref="AH47" si="54">AE47/AD47*100</f>
        <v>135.23606122382941</v>
      </c>
      <c r="AI47" s="60">
        <v>42243</v>
      </c>
      <c r="AJ47" s="61">
        <f t="shared" ref="AJ47" si="55">AE47/AI47*100</f>
        <v>98.932367492839049</v>
      </c>
      <c r="AK47" s="61">
        <f t="shared" si="47"/>
        <v>15.556994915090197</v>
      </c>
    </row>
    <row r="48" spans="1:37" s="62" customFormat="1">
      <c r="A48" s="63" t="s">
        <v>298</v>
      </c>
      <c r="B48" s="63" t="s">
        <v>296</v>
      </c>
      <c r="C48" s="63" t="s">
        <v>197</v>
      </c>
      <c r="D48" s="63" t="s">
        <v>324</v>
      </c>
      <c r="E48" s="63" t="s">
        <v>82</v>
      </c>
      <c r="F48" s="63"/>
      <c r="G48" s="63"/>
      <c r="H48" s="63"/>
      <c r="I48" s="63"/>
      <c r="J48" s="63"/>
      <c r="K48" s="63"/>
      <c r="L48" s="63" t="s">
        <v>223</v>
      </c>
      <c r="M48" s="63" t="s">
        <v>219</v>
      </c>
      <c r="N48" s="63" t="s">
        <v>264</v>
      </c>
      <c r="O48" s="63" t="s">
        <v>212</v>
      </c>
      <c r="P48" s="63" t="s">
        <v>256</v>
      </c>
      <c r="Q48" s="63" t="s">
        <v>258</v>
      </c>
      <c r="R48" s="63"/>
      <c r="S48" s="63"/>
      <c r="T48" s="63"/>
      <c r="U48" s="63"/>
      <c r="V48" s="63">
        <v>1</v>
      </c>
      <c r="W48" s="63"/>
      <c r="X48" s="63" t="s">
        <v>207</v>
      </c>
      <c r="Y48" s="63">
        <f>SUM(Y47:Y47)</f>
        <v>279463</v>
      </c>
      <c r="Z48" s="63">
        <f>SUM(Z47)</f>
        <v>268638</v>
      </c>
      <c r="AA48" s="67">
        <f>Z48/Y48*100</f>
        <v>96.126499751308756</v>
      </c>
      <c r="AB48" s="63">
        <f>SUM(AB47)</f>
        <v>267739</v>
      </c>
      <c r="AC48" s="67">
        <f>Z48/AB48*100</f>
        <v>100.33577476572333</v>
      </c>
      <c r="AD48" s="63">
        <f>SUM(AD47)</f>
        <v>30903</v>
      </c>
      <c r="AE48" s="63">
        <f>SUM(AE47)</f>
        <v>41792</v>
      </c>
      <c r="AF48" s="63">
        <f>SUM(AF47)</f>
        <v>226845</v>
      </c>
      <c r="AG48" s="63">
        <f>SUM(AG47)</f>
        <v>268637</v>
      </c>
      <c r="AH48" s="67">
        <f>AE48/AD48*100</f>
        <v>135.23606122382941</v>
      </c>
      <c r="AI48" s="63">
        <f>SUM(AI47)</f>
        <v>42243</v>
      </c>
      <c r="AJ48" s="67">
        <f>AE48/AI48*100</f>
        <v>98.932367492839049</v>
      </c>
      <c r="AK48" s="67">
        <f t="shared" si="47"/>
        <v>15.556994915090197</v>
      </c>
    </row>
    <row r="49" spans="1:37" s="62" customFormat="1">
      <c r="A49" s="60" t="s">
        <v>298</v>
      </c>
      <c r="B49" s="60" t="s">
        <v>296</v>
      </c>
      <c r="C49" s="60" t="s">
        <v>197</v>
      </c>
      <c r="D49" s="60" t="s">
        <v>324</v>
      </c>
      <c r="E49" s="60" t="s">
        <v>82</v>
      </c>
      <c r="F49" s="60"/>
      <c r="G49" s="60"/>
      <c r="H49" s="60"/>
      <c r="I49" s="60"/>
      <c r="J49" s="60"/>
      <c r="K49" s="60"/>
      <c r="L49" s="60" t="s">
        <v>222</v>
      </c>
      <c r="M49" s="60" t="s">
        <v>218</v>
      </c>
      <c r="N49" s="60" t="s">
        <v>325</v>
      </c>
      <c r="O49" s="60" t="s">
        <v>255</v>
      </c>
      <c r="P49" s="60" t="s">
        <v>256</v>
      </c>
      <c r="Q49" s="60" t="s">
        <v>258</v>
      </c>
      <c r="R49" s="60"/>
      <c r="S49" s="60"/>
      <c r="T49" s="60"/>
      <c r="U49" s="60"/>
      <c r="V49" s="60">
        <v>1</v>
      </c>
      <c r="W49" s="60"/>
      <c r="X49" s="60"/>
      <c r="Y49" s="63">
        <f>Y48</f>
        <v>279463</v>
      </c>
      <c r="Z49" s="63">
        <f>Z48</f>
        <v>268638</v>
      </c>
      <c r="AA49" s="67">
        <f>Z49/Y49*100</f>
        <v>96.126499751308756</v>
      </c>
      <c r="AB49" s="63">
        <f>AB48</f>
        <v>267739</v>
      </c>
      <c r="AC49" s="67">
        <f>Z49/AB49*100</f>
        <v>100.33577476572333</v>
      </c>
      <c r="AD49" s="63">
        <f>AD48</f>
        <v>30903</v>
      </c>
      <c r="AE49" s="63">
        <f>AE48</f>
        <v>41792</v>
      </c>
      <c r="AF49" s="63">
        <f>AF48</f>
        <v>226845</v>
      </c>
      <c r="AG49" s="63">
        <f>AG48</f>
        <v>268637</v>
      </c>
      <c r="AH49" s="67">
        <f>AE49/AD49*100</f>
        <v>135.23606122382941</v>
      </c>
      <c r="AI49" s="63">
        <f>AI48</f>
        <v>42243</v>
      </c>
      <c r="AJ49" s="67">
        <f>AE49/AI49*100</f>
        <v>98.932367492839049</v>
      </c>
      <c r="AK49" s="67">
        <f t="shared" si="47"/>
        <v>15.556994915090197</v>
      </c>
    </row>
    <row r="50" spans="1:37" s="62" customFormat="1">
      <c r="A50" s="63" t="s">
        <v>298</v>
      </c>
      <c r="B50" s="63" t="s">
        <v>296</v>
      </c>
      <c r="C50" s="63" t="s">
        <v>197</v>
      </c>
      <c r="D50" s="63" t="s">
        <v>324</v>
      </c>
      <c r="E50" s="63" t="s">
        <v>82</v>
      </c>
      <c r="F50" s="63"/>
      <c r="G50" s="63"/>
      <c r="H50" s="63"/>
      <c r="I50" s="63"/>
      <c r="J50" s="63"/>
      <c r="K50" s="63"/>
      <c r="L50" s="63" t="s">
        <v>95</v>
      </c>
      <c r="M50" s="63" t="s">
        <v>216</v>
      </c>
      <c r="N50" s="63" t="s">
        <v>95</v>
      </c>
      <c r="O50" s="63" t="s">
        <v>216</v>
      </c>
      <c r="P50" s="63" t="s">
        <v>268</v>
      </c>
      <c r="Q50" s="63" t="s">
        <v>327</v>
      </c>
      <c r="R50" s="63"/>
      <c r="S50" s="63"/>
      <c r="T50" s="63" t="s">
        <v>205</v>
      </c>
      <c r="U50" s="63" t="s">
        <v>206</v>
      </c>
      <c r="V50" s="63">
        <v>0</v>
      </c>
      <c r="W50" s="63">
        <v>940000</v>
      </c>
      <c r="X50" s="63" t="s">
        <v>111</v>
      </c>
      <c r="Y50" s="63">
        <v>2500000</v>
      </c>
      <c r="Z50" s="63">
        <v>3095270</v>
      </c>
      <c r="AA50" s="67">
        <f>Z50/Y50*100</f>
        <v>123.8108</v>
      </c>
      <c r="AB50" s="63">
        <v>3082046</v>
      </c>
      <c r="AC50" s="67">
        <f>Z50/AB50*100</f>
        <v>100.42906562718402</v>
      </c>
      <c r="AD50" s="63">
        <v>50000</v>
      </c>
      <c r="AE50" s="63">
        <v>91408</v>
      </c>
      <c r="AF50" s="63">
        <v>36620</v>
      </c>
      <c r="AG50" s="63">
        <v>128028</v>
      </c>
      <c r="AH50" s="67">
        <f>AE50/AD50*100</f>
        <v>182.816</v>
      </c>
      <c r="AI50" s="63">
        <v>79674</v>
      </c>
      <c r="AJ50" s="67">
        <f>AE50/AI50*100</f>
        <v>114.727514622085</v>
      </c>
      <c r="AK50" s="67">
        <f t="shared" ref="AK50" si="56">AE50/Z50*100</f>
        <v>2.9531510982886795</v>
      </c>
    </row>
    <row r="51" spans="1:37" s="62" customFormat="1">
      <c r="A51" s="60" t="s">
        <v>298</v>
      </c>
      <c r="B51" s="60" t="s">
        <v>296</v>
      </c>
      <c r="C51" s="60" t="s">
        <v>197</v>
      </c>
      <c r="D51" s="60" t="s">
        <v>324</v>
      </c>
      <c r="E51" s="60" t="s">
        <v>82</v>
      </c>
      <c r="F51" s="60"/>
      <c r="G51" s="60"/>
      <c r="H51" s="60"/>
      <c r="I51" s="60"/>
      <c r="J51" s="60"/>
      <c r="K51" s="60"/>
      <c r="L51" s="60" t="s">
        <v>95</v>
      </c>
      <c r="M51" s="60" t="s">
        <v>216</v>
      </c>
      <c r="N51" s="60" t="s">
        <v>95</v>
      </c>
      <c r="O51" s="60" t="s">
        <v>216</v>
      </c>
      <c r="P51" s="60" t="s">
        <v>268</v>
      </c>
      <c r="Q51" s="60" t="s">
        <v>327</v>
      </c>
      <c r="R51" s="60"/>
      <c r="S51" s="60"/>
      <c r="T51" s="60"/>
      <c r="U51" s="60"/>
      <c r="V51" s="60">
        <v>1</v>
      </c>
      <c r="W51" s="60"/>
      <c r="X51" s="60" t="s">
        <v>111</v>
      </c>
      <c r="Y51" s="60">
        <f>SUM(Y50:Y50)</f>
        <v>2500000</v>
      </c>
      <c r="Z51" s="60">
        <f>SUM(Z50:Z50)</f>
        <v>3095270</v>
      </c>
      <c r="AA51" s="61">
        <f>Z51/Y51*100</f>
        <v>123.8108</v>
      </c>
      <c r="AB51" s="60">
        <f>SUM(AB50:AB50)</f>
        <v>3082046</v>
      </c>
      <c r="AC51" s="61">
        <f>Z51/AB51*100</f>
        <v>100.42906562718402</v>
      </c>
      <c r="AD51" s="60">
        <f>SUM(AD50:AD50)</f>
        <v>50000</v>
      </c>
      <c r="AE51" s="60">
        <f>SUM(AE50:AE50)</f>
        <v>91408</v>
      </c>
      <c r="AF51" s="60">
        <f>SUM(AF50:AF50)</f>
        <v>36620</v>
      </c>
      <c r="AG51" s="60">
        <f>SUM(AG50:AG50)</f>
        <v>128028</v>
      </c>
      <c r="AH51" s="61">
        <f>AE51/AD51*100</f>
        <v>182.816</v>
      </c>
      <c r="AI51" s="60">
        <f>SUM(AI50:AI50)</f>
        <v>79674</v>
      </c>
      <c r="AJ51" s="61">
        <f>AE51/AI51*100</f>
        <v>114.727514622085</v>
      </c>
      <c r="AK51" s="61">
        <f>AE51/Z51*100</f>
        <v>2.9531510982886795</v>
      </c>
    </row>
    <row r="52" spans="1:37" s="62" customFormat="1">
      <c r="A52" s="63" t="s">
        <v>298</v>
      </c>
      <c r="B52" s="63" t="s">
        <v>296</v>
      </c>
      <c r="C52" s="63" t="s">
        <v>197</v>
      </c>
      <c r="D52" s="63" t="s">
        <v>324</v>
      </c>
      <c r="E52" s="63" t="s">
        <v>82</v>
      </c>
      <c r="F52" s="63"/>
      <c r="G52" s="63"/>
      <c r="H52" s="63"/>
      <c r="I52" s="63"/>
      <c r="J52" s="63"/>
      <c r="K52" s="63"/>
      <c r="L52" s="63" t="s">
        <v>95</v>
      </c>
      <c r="M52" s="63" t="s">
        <v>216</v>
      </c>
      <c r="N52" s="63" t="s">
        <v>95</v>
      </c>
      <c r="O52" s="63" t="s">
        <v>216</v>
      </c>
      <c r="P52" s="63" t="s">
        <v>268</v>
      </c>
      <c r="Q52" s="63" t="s">
        <v>327</v>
      </c>
      <c r="R52" s="63"/>
      <c r="S52" s="63"/>
      <c r="T52" s="63"/>
      <c r="U52" s="63"/>
      <c r="V52" s="63">
        <v>1</v>
      </c>
      <c r="W52" s="63"/>
      <c r="X52" s="63"/>
      <c r="Y52" s="63">
        <f>Y51</f>
        <v>2500000</v>
      </c>
      <c r="Z52" s="63">
        <f>Z51</f>
        <v>3095270</v>
      </c>
      <c r="AA52" s="67">
        <f t="shared" ref="AA52" si="57">Z52/Y52*100</f>
        <v>123.8108</v>
      </c>
      <c r="AB52" s="63">
        <f>AB51</f>
        <v>3082046</v>
      </c>
      <c r="AC52" s="67">
        <f t="shared" ref="AC52" si="58">Z52/AB52*100</f>
        <v>100.42906562718402</v>
      </c>
      <c r="AD52" s="63">
        <f>AD51</f>
        <v>50000</v>
      </c>
      <c r="AE52" s="63">
        <f>AE51</f>
        <v>91408</v>
      </c>
      <c r="AF52" s="63">
        <f>AF51</f>
        <v>36620</v>
      </c>
      <c r="AG52" s="63">
        <f>AG51</f>
        <v>128028</v>
      </c>
      <c r="AH52" s="67">
        <f t="shared" ref="AH52" si="59">AE52/AD52*100</f>
        <v>182.816</v>
      </c>
      <c r="AI52" s="63">
        <f>AI51</f>
        <v>79674</v>
      </c>
      <c r="AJ52" s="67">
        <f t="shared" ref="AJ52" si="60">AE52/AI52*100</f>
        <v>114.727514622085</v>
      </c>
      <c r="AK52" s="67">
        <f t="shared" ref="AK52" si="61">AE52/Z52*100</f>
        <v>2.9531510982886795</v>
      </c>
    </row>
    <row r="53" spans="1:37" s="62" customFormat="1">
      <c r="A53" s="60" t="s">
        <v>298</v>
      </c>
      <c r="B53" s="60" t="s">
        <v>296</v>
      </c>
      <c r="C53" s="60" t="s">
        <v>197</v>
      </c>
      <c r="D53" s="60" t="s">
        <v>324</v>
      </c>
      <c r="E53" s="60" t="s">
        <v>82</v>
      </c>
      <c r="F53" s="60"/>
      <c r="G53" s="60"/>
      <c r="H53" s="60"/>
      <c r="I53" s="60"/>
      <c r="J53" s="60"/>
      <c r="K53" s="60"/>
      <c r="L53" s="60" t="s">
        <v>95</v>
      </c>
      <c r="M53" s="60" t="s">
        <v>216</v>
      </c>
      <c r="N53" s="60" t="s">
        <v>239</v>
      </c>
      <c r="O53" s="60" t="s">
        <v>231</v>
      </c>
      <c r="P53" s="60" t="s">
        <v>268</v>
      </c>
      <c r="Q53" s="60" t="s">
        <v>327</v>
      </c>
      <c r="R53" s="60"/>
      <c r="S53" s="60"/>
      <c r="T53" s="60" t="s">
        <v>205</v>
      </c>
      <c r="U53" s="60" t="s">
        <v>206</v>
      </c>
      <c r="V53" s="60">
        <v>0</v>
      </c>
      <c r="W53" s="60">
        <v>940000</v>
      </c>
      <c r="X53" s="60" t="s">
        <v>111</v>
      </c>
      <c r="Y53" s="60">
        <v>2500000</v>
      </c>
      <c r="Z53" s="60">
        <v>3095270</v>
      </c>
      <c r="AA53" s="61">
        <f>Z53/Y53*100</f>
        <v>123.8108</v>
      </c>
      <c r="AB53" s="60">
        <v>3082046</v>
      </c>
      <c r="AC53" s="61">
        <f>Z53/AB53*100</f>
        <v>100.42906562718402</v>
      </c>
      <c r="AD53" s="60">
        <v>50000</v>
      </c>
      <c r="AE53" s="60">
        <v>91408</v>
      </c>
      <c r="AF53" s="60">
        <v>36620</v>
      </c>
      <c r="AG53" s="60">
        <v>128028</v>
      </c>
      <c r="AH53" s="61">
        <f>AE53/AD53*100</f>
        <v>182.816</v>
      </c>
      <c r="AI53" s="60">
        <v>79674</v>
      </c>
      <c r="AJ53" s="61">
        <f>AE53/AI53*100</f>
        <v>114.727514622085</v>
      </c>
      <c r="AK53" s="61">
        <f>AE53/Z53*100</f>
        <v>2.9531510982886795</v>
      </c>
    </row>
    <row r="54" spans="1:37" s="62" customFormat="1">
      <c r="A54" s="63" t="s">
        <v>298</v>
      </c>
      <c r="B54" s="63" t="s">
        <v>296</v>
      </c>
      <c r="C54" s="63" t="s">
        <v>197</v>
      </c>
      <c r="D54" s="63" t="s">
        <v>324</v>
      </c>
      <c r="E54" s="63" t="s">
        <v>82</v>
      </c>
      <c r="F54" s="63"/>
      <c r="G54" s="63"/>
      <c r="H54" s="63"/>
      <c r="I54" s="63"/>
      <c r="J54" s="63"/>
      <c r="K54" s="63"/>
      <c r="L54" s="63" t="s">
        <v>95</v>
      </c>
      <c r="M54" s="63" t="s">
        <v>216</v>
      </c>
      <c r="N54" s="63" t="s">
        <v>239</v>
      </c>
      <c r="O54" s="63" t="s">
        <v>231</v>
      </c>
      <c r="P54" s="63" t="s">
        <v>268</v>
      </c>
      <c r="Q54" s="63" t="s">
        <v>327</v>
      </c>
      <c r="R54" s="63"/>
      <c r="S54" s="63"/>
      <c r="T54" s="63"/>
      <c r="U54" s="63"/>
      <c r="V54" s="63">
        <v>1</v>
      </c>
      <c r="W54" s="63"/>
      <c r="X54" s="63" t="s">
        <v>91</v>
      </c>
      <c r="Y54" s="63">
        <f>SUM(Y53:Y53)</f>
        <v>2500000</v>
      </c>
      <c r="Z54" s="63">
        <f>SUM(Z53:Z53)</f>
        <v>3095270</v>
      </c>
      <c r="AA54" s="67">
        <f>Z54/Y54*100</f>
        <v>123.8108</v>
      </c>
      <c r="AB54" s="63">
        <f>SUM(AB53:AB53)</f>
        <v>3082046</v>
      </c>
      <c r="AC54" s="67">
        <f>Z54/AB54*100</f>
        <v>100.42906562718402</v>
      </c>
      <c r="AD54" s="63">
        <f>SUM(AD53:AD53)</f>
        <v>50000</v>
      </c>
      <c r="AE54" s="63">
        <f>SUM(AE53:AE53)</f>
        <v>91408</v>
      </c>
      <c r="AF54" s="63">
        <f>SUM(AF53:AF53)</f>
        <v>36620</v>
      </c>
      <c r="AG54" s="63">
        <f>SUM(AG53:AG53)</f>
        <v>128028</v>
      </c>
      <c r="AH54" s="67">
        <f>AE54/AD54*100</f>
        <v>182.816</v>
      </c>
      <c r="AI54" s="63">
        <f>SUM(AI53:AI53)</f>
        <v>79674</v>
      </c>
      <c r="AJ54" s="67">
        <f>AE54/AI54*100</f>
        <v>114.727514622085</v>
      </c>
      <c r="AK54" s="67">
        <f>AE54/Z54*100</f>
        <v>2.9531510982886795</v>
      </c>
    </row>
    <row r="55" spans="1:37" s="62" customFormat="1">
      <c r="A55" s="60" t="s">
        <v>298</v>
      </c>
      <c r="B55" s="60" t="s">
        <v>296</v>
      </c>
      <c r="C55" s="60" t="s">
        <v>197</v>
      </c>
      <c r="D55" s="60" t="s">
        <v>324</v>
      </c>
      <c r="E55" s="60" t="s">
        <v>82</v>
      </c>
      <c r="F55" s="60"/>
      <c r="G55" s="60"/>
      <c r="H55" s="60"/>
      <c r="I55" s="60"/>
      <c r="J55" s="60"/>
      <c r="K55" s="60"/>
      <c r="L55" s="60" t="s">
        <v>95</v>
      </c>
      <c r="M55" s="60" t="s">
        <v>216</v>
      </c>
      <c r="N55" s="60" t="s">
        <v>239</v>
      </c>
      <c r="O55" s="60" t="s">
        <v>231</v>
      </c>
      <c r="P55" s="60" t="s">
        <v>268</v>
      </c>
      <c r="Q55" s="60" t="s">
        <v>327</v>
      </c>
      <c r="R55" s="60"/>
      <c r="S55" s="60"/>
      <c r="T55" s="60"/>
      <c r="U55" s="60"/>
      <c r="V55" s="60">
        <v>1</v>
      </c>
      <c r="W55" s="60"/>
      <c r="X55" s="60"/>
      <c r="Y55" s="60">
        <f>Y54</f>
        <v>2500000</v>
      </c>
      <c r="Z55" s="60">
        <f>Z54</f>
        <v>3095270</v>
      </c>
      <c r="AA55" s="61">
        <f t="shared" ref="AA55" si="62">Z55/Y55*100</f>
        <v>123.8108</v>
      </c>
      <c r="AB55" s="60">
        <f>AB54</f>
        <v>3082046</v>
      </c>
      <c r="AC55" s="61">
        <f t="shared" ref="AC55" si="63">Z55/AB55*100</f>
        <v>100.42906562718402</v>
      </c>
      <c r="AD55" s="60">
        <f>AD54</f>
        <v>50000</v>
      </c>
      <c r="AE55" s="60">
        <f>AE54</f>
        <v>91408</v>
      </c>
      <c r="AF55" s="60">
        <f>AF54</f>
        <v>36620</v>
      </c>
      <c r="AG55" s="60">
        <f>AG54</f>
        <v>128028</v>
      </c>
      <c r="AH55" s="61">
        <f t="shared" ref="AH55" si="64">AE55/AD55*100</f>
        <v>182.816</v>
      </c>
      <c r="AI55" s="60">
        <f>AI54</f>
        <v>79674</v>
      </c>
      <c r="AJ55" s="61">
        <f t="shared" ref="AJ55" si="65">AE55/AI55*100</f>
        <v>114.727514622085</v>
      </c>
      <c r="AK55" s="61">
        <f t="shared" ref="AK55" si="66">AE55/Z55*100</f>
        <v>2.9531510982886795</v>
      </c>
    </row>
    <row r="56" spans="1:37" s="62" customFormat="1">
      <c r="A56" s="63" t="s">
        <v>298</v>
      </c>
      <c r="B56" s="63" t="s">
        <v>296</v>
      </c>
      <c r="C56" s="63" t="s">
        <v>197</v>
      </c>
      <c r="D56" s="63" t="s">
        <v>324</v>
      </c>
      <c r="E56" s="63" t="s">
        <v>82</v>
      </c>
      <c r="F56" s="63"/>
      <c r="G56" s="63"/>
      <c r="H56" s="63"/>
      <c r="I56" s="63"/>
      <c r="J56" s="63"/>
      <c r="K56" s="63"/>
      <c r="L56" s="63" t="s">
        <v>95</v>
      </c>
      <c r="M56" s="63" t="s">
        <v>216</v>
      </c>
      <c r="N56" s="63" t="s">
        <v>241</v>
      </c>
      <c r="O56" s="63" t="s">
        <v>233</v>
      </c>
      <c r="P56" s="63" t="s">
        <v>268</v>
      </c>
      <c r="Q56" s="63" t="s">
        <v>327</v>
      </c>
      <c r="R56" s="63"/>
      <c r="S56" s="63"/>
      <c r="T56" s="63" t="s">
        <v>205</v>
      </c>
      <c r="U56" s="63" t="s">
        <v>206</v>
      </c>
      <c r="V56" s="63">
        <v>0</v>
      </c>
      <c r="W56" s="63">
        <v>940000</v>
      </c>
      <c r="X56" s="63" t="s">
        <v>111</v>
      </c>
      <c r="Y56" s="63">
        <v>2500000</v>
      </c>
      <c r="Z56" s="63">
        <v>3095270</v>
      </c>
      <c r="AA56" s="67">
        <f t="shared" ref="AA56:AA63" si="67">Z56/Y56*100</f>
        <v>123.8108</v>
      </c>
      <c r="AB56" s="63">
        <v>3082046</v>
      </c>
      <c r="AC56" s="67">
        <f t="shared" ref="AC56:AC63" si="68">Z56/AB56*100</f>
        <v>100.42906562718402</v>
      </c>
      <c r="AD56" s="63">
        <v>50000</v>
      </c>
      <c r="AE56" s="63">
        <v>91408</v>
      </c>
      <c r="AF56" s="63">
        <v>36620</v>
      </c>
      <c r="AG56" s="63">
        <v>128028</v>
      </c>
      <c r="AH56" s="67">
        <f t="shared" ref="AH56:AH63" si="69">AE56/AD56*100</f>
        <v>182.816</v>
      </c>
      <c r="AI56" s="63">
        <v>79674</v>
      </c>
      <c r="AJ56" s="67">
        <f t="shared" ref="AJ56:AJ63" si="70">AE56/AI56*100</f>
        <v>114.727514622085</v>
      </c>
      <c r="AK56" s="67">
        <f t="shared" ref="AK56:AK57" si="71">AE56/Z56*100</f>
        <v>2.9531510982886795</v>
      </c>
    </row>
    <row r="57" spans="1:37" s="62" customFormat="1">
      <c r="A57" s="60" t="s">
        <v>298</v>
      </c>
      <c r="B57" s="60" t="s">
        <v>296</v>
      </c>
      <c r="C57" s="60" t="s">
        <v>197</v>
      </c>
      <c r="D57" s="60" t="s">
        <v>324</v>
      </c>
      <c r="E57" s="60" t="s">
        <v>82</v>
      </c>
      <c r="F57" s="60"/>
      <c r="G57" s="60"/>
      <c r="H57" s="60"/>
      <c r="I57" s="60"/>
      <c r="J57" s="60"/>
      <c r="K57" s="60"/>
      <c r="L57" s="60" t="s">
        <v>95</v>
      </c>
      <c r="M57" s="60" t="s">
        <v>216</v>
      </c>
      <c r="N57" s="60" t="s">
        <v>241</v>
      </c>
      <c r="O57" s="60" t="s">
        <v>233</v>
      </c>
      <c r="P57" s="60" t="s">
        <v>268</v>
      </c>
      <c r="Q57" s="60" t="s">
        <v>327</v>
      </c>
      <c r="R57" s="60"/>
      <c r="S57" s="60"/>
      <c r="T57" s="60"/>
      <c r="U57" s="60"/>
      <c r="V57" s="60">
        <v>1</v>
      </c>
      <c r="W57" s="60"/>
      <c r="X57" s="60" t="s">
        <v>111</v>
      </c>
      <c r="Y57" s="60">
        <f>SUM(Y56:Y56)</f>
        <v>2500000</v>
      </c>
      <c r="Z57" s="60">
        <f>SUM(Z56:Z56)</f>
        <v>3095270</v>
      </c>
      <c r="AA57" s="61">
        <f t="shared" si="67"/>
        <v>123.8108</v>
      </c>
      <c r="AB57" s="60">
        <f>SUM(AB56:AB56)</f>
        <v>3082046</v>
      </c>
      <c r="AC57" s="61">
        <f t="shared" si="68"/>
        <v>100.42906562718402</v>
      </c>
      <c r="AD57" s="60">
        <f>SUM(AD56:AD56)</f>
        <v>50000</v>
      </c>
      <c r="AE57" s="60">
        <f>SUM(AE56:AE56)</f>
        <v>91408</v>
      </c>
      <c r="AF57" s="60">
        <f>SUM(AF56:AF56)</f>
        <v>36620</v>
      </c>
      <c r="AG57" s="60">
        <f>SUM(AG56:AG56)</f>
        <v>128028</v>
      </c>
      <c r="AH57" s="61">
        <f t="shared" si="69"/>
        <v>182.816</v>
      </c>
      <c r="AI57" s="60">
        <f>SUM(AI56:AI56)</f>
        <v>79674</v>
      </c>
      <c r="AJ57" s="61">
        <f t="shared" si="70"/>
        <v>114.727514622085</v>
      </c>
      <c r="AK57" s="61">
        <f t="shared" si="71"/>
        <v>2.9531510982886795</v>
      </c>
    </row>
    <row r="58" spans="1:37" s="62" customFormat="1">
      <c r="A58" s="63" t="s">
        <v>298</v>
      </c>
      <c r="B58" s="63" t="s">
        <v>296</v>
      </c>
      <c r="C58" s="63" t="s">
        <v>197</v>
      </c>
      <c r="D58" s="63" t="s">
        <v>324</v>
      </c>
      <c r="E58" s="63" t="s">
        <v>82</v>
      </c>
      <c r="F58" s="63"/>
      <c r="G58" s="63"/>
      <c r="H58" s="63"/>
      <c r="I58" s="63"/>
      <c r="J58" s="63"/>
      <c r="K58" s="63"/>
      <c r="L58" s="63" t="s">
        <v>95</v>
      </c>
      <c r="M58" s="63" t="s">
        <v>216</v>
      </c>
      <c r="N58" s="63" t="s">
        <v>241</v>
      </c>
      <c r="O58" s="63" t="s">
        <v>233</v>
      </c>
      <c r="P58" s="63" t="s">
        <v>268</v>
      </c>
      <c r="Q58" s="63" t="s">
        <v>327</v>
      </c>
      <c r="R58" s="63"/>
      <c r="S58" s="63"/>
      <c r="T58" s="63"/>
      <c r="U58" s="63"/>
      <c r="V58" s="63">
        <v>1</v>
      </c>
      <c r="W58" s="63"/>
      <c r="X58" s="63"/>
      <c r="Y58" s="63">
        <f>Y57</f>
        <v>2500000</v>
      </c>
      <c r="Z58" s="63">
        <f>Z57</f>
        <v>3095270</v>
      </c>
      <c r="AA58" s="67">
        <f t="shared" si="67"/>
        <v>123.8108</v>
      </c>
      <c r="AB58" s="63">
        <f>AB57</f>
        <v>3082046</v>
      </c>
      <c r="AC58" s="67">
        <f t="shared" si="68"/>
        <v>100.42906562718402</v>
      </c>
      <c r="AD58" s="63">
        <f>AD57</f>
        <v>50000</v>
      </c>
      <c r="AE58" s="63">
        <f>AE57</f>
        <v>91408</v>
      </c>
      <c r="AF58" s="63">
        <f>AF57</f>
        <v>36620</v>
      </c>
      <c r="AG58" s="63">
        <f>AG57</f>
        <v>128028</v>
      </c>
      <c r="AH58" s="67">
        <f t="shared" si="69"/>
        <v>182.816</v>
      </c>
      <c r="AI58" s="63">
        <f>AI57</f>
        <v>79674</v>
      </c>
      <c r="AJ58" s="67">
        <f t="shared" si="70"/>
        <v>114.727514622085</v>
      </c>
      <c r="AK58" s="67">
        <f>AE58/Z58*100</f>
        <v>2.9531510982886795</v>
      </c>
    </row>
    <row r="59" spans="1:37" s="62" customFormat="1">
      <c r="A59" s="60" t="s">
        <v>298</v>
      </c>
      <c r="B59" s="60" t="s">
        <v>296</v>
      </c>
      <c r="C59" s="60" t="s">
        <v>197</v>
      </c>
      <c r="D59" s="60" t="s">
        <v>324</v>
      </c>
      <c r="E59" s="60" t="s">
        <v>82</v>
      </c>
      <c r="F59" s="60"/>
      <c r="G59" s="60"/>
      <c r="H59" s="60"/>
      <c r="I59" s="60"/>
      <c r="J59" s="60"/>
      <c r="K59" s="60"/>
      <c r="L59" s="60" t="s">
        <v>217</v>
      </c>
      <c r="M59" s="60" t="s">
        <v>215</v>
      </c>
      <c r="N59" s="60" t="s">
        <v>326</v>
      </c>
      <c r="O59" s="60" t="s">
        <v>210</v>
      </c>
      <c r="P59" s="60" t="s">
        <v>268</v>
      </c>
      <c r="Q59" s="60" t="s">
        <v>269</v>
      </c>
      <c r="R59" s="59" t="s">
        <v>265</v>
      </c>
      <c r="S59" s="60" t="s">
        <v>210</v>
      </c>
      <c r="T59" s="60"/>
      <c r="U59" s="60"/>
      <c r="V59" s="60">
        <v>0</v>
      </c>
      <c r="W59" s="60">
        <v>941000</v>
      </c>
      <c r="X59" s="60" t="s">
        <v>92</v>
      </c>
      <c r="Y59" s="60">
        <v>61400</v>
      </c>
      <c r="Z59" s="60">
        <v>61671</v>
      </c>
      <c r="AA59" s="61">
        <f t="shared" si="67"/>
        <v>100.4413680781759</v>
      </c>
      <c r="AB59" s="60">
        <v>60698</v>
      </c>
      <c r="AC59" s="61">
        <f t="shared" si="68"/>
        <v>101.6030182213582</v>
      </c>
      <c r="AD59" s="60">
        <v>-35318</v>
      </c>
      <c r="AE59" s="60">
        <v>-34602</v>
      </c>
      <c r="AF59" s="60">
        <v>96273</v>
      </c>
      <c r="AG59" s="60">
        <v>61671</v>
      </c>
      <c r="AH59" s="61">
        <f t="shared" si="69"/>
        <v>97.97270513619118</v>
      </c>
      <c r="AI59" s="60">
        <v>-33196</v>
      </c>
      <c r="AJ59" s="61">
        <f t="shared" si="70"/>
        <v>104.23545005422341</v>
      </c>
      <c r="AK59" s="61">
        <f>AE59/Z59*100</f>
        <v>-56.107408668580049</v>
      </c>
    </row>
    <row r="60" spans="1:37" s="62" customFormat="1">
      <c r="A60" s="63" t="s">
        <v>298</v>
      </c>
      <c r="B60" s="63" t="s">
        <v>296</v>
      </c>
      <c r="C60" s="63" t="s">
        <v>197</v>
      </c>
      <c r="D60" s="63" t="s">
        <v>324</v>
      </c>
      <c r="E60" s="63" t="s">
        <v>82</v>
      </c>
      <c r="F60" s="63"/>
      <c r="G60" s="63"/>
      <c r="H60" s="63"/>
      <c r="I60" s="63"/>
      <c r="J60" s="63"/>
      <c r="K60" s="63"/>
      <c r="L60" s="63" t="s">
        <v>95</v>
      </c>
      <c r="M60" s="63" t="s">
        <v>216</v>
      </c>
      <c r="N60" s="63" t="s">
        <v>326</v>
      </c>
      <c r="O60" s="63" t="s">
        <v>210</v>
      </c>
      <c r="P60" s="63" t="s">
        <v>268</v>
      </c>
      <c r="Q60" s="63" t="s">
        <v>269</v>
      </c>
      <c r="R60" s="63"/>
      <c r="S60" s="63"/>
      <c r="T60" s="63"/>
      <c r="U60" s="63"/>
      <c r="V60" s="63">
        <v>1</v>
      </c>
      <c r="W60" s="63"/>
      <c r="X60" s="63" t="s">
        <v>207</v>
      </c>
      <c r="Y60" s="63">
        <f>SUM(Y59:Y59)</f>
        <v>61400</v>
      </c>
      <c r="Z60" s="63">
        <f>SUM(Z59)</f>
        <v>61671</v>
      </c>
      <c r="AA60" s="67">
        <f t="shared" si="67"/>
        <v>100.4413680781759</v>
      </c>
      <c r="AB60" s="63">
        <f>SUM(AB59)</f>
        <v>60698</v>
      </c>
      <c r="AC60" s="67">
        <f t="shared" si="68"/>
        <v>101.6030182213582</v>
      </c>
      <c r="AD60" s="63">
        <f>SUM(AD59)</f>
        <v>-35318</v>
      </c>
      <c r="AE60" s="63">
        <f>SUM(AE59)</f>
        <v>-34602</v>
      </c>
      <c r="AF60" s="63">
        <f>SUM(AF59)</f>
        <v>96273</v>
      </c>
      <c r="AG60" s="63">
        <f>SUM(AG59)</f>
        <v>61671</v>
      </c>
      <c r="AH60" s="67">
        <f t="shared" si="69"/>
        <v>97.97270513619118</v>
      </c>
      <c r="AI60" s="63">
        <f>SUM(AI59)</f>
        <v>-33196</v>
      </c>
      <c r="AJ60" s="67">
        <f t="shared" si="70"/>
        <v>104.23545005422341</v>
      </c>
      <c r="AK60" s="67">
        <f>AE60/Z60*100</f>
        <v>-56.107408668580049</v>
      </c>
    </row>
    <row r="61" spans="1:37" s="62" customFormat="1">
      <c r="A61" s="60" t="s">
        <v>298</v>
      </c>
      <c r="B61" s="60" t="s">
        <v>296</v>
      </c>
      <c r="C61" s="60" t="s">
        <v>197</v>
      </c>
      <c r="D61" s="60" t="s">
        <v>324</v>
      </c>
      <c r="E61" s="60" t="s">
        <v>82</v>
      </c>
      <c r="F61" s="60"/>
      <c r="G61" s="60"/>
      <c r="H61" s="60"/>
      <c r="I61" s="60"/>
      <c r="J61" s="60"/>
      <c r="K61" s="60"/>
      <c r="L61" s="60" t="s">
        <v>95</v>
      </c>
      <c r="M61" s="60" t="s">
        <v>216</v>
      </c>
      <c r="N61" s="60" t="s">
        <v>326</v>
      </c>
      <c r="O61" s="60" t="s">
        <v>210</v>
      </c>
      <c r="P61" s="60" t="s">
        <v>268</v>
      </c>
      <c r="Q61" s="60" t="s">
        <v>327</v>
      </c>
      <c r="R61" s="60"/>
      <c r="S61" s="60"/>
      <c r="T61" s="60"/>
      <c r="U61" s="60"/>
      <c r="V61" s="60">
        <v>1</v>
      </c>
      <c r="W61" s="60"/>
      <c r="X61" s="60"/>
      <c r="Y61" s="60">
        <f>Y60</f>
        <v>61400</v>
      </c>
      <c r="Z61" s="60">
        <f>Z60</f>
        <v>61671</v>
      </c>
      <c r="AA61" s="61">
        <f t="shared" si="67"/>
        <v>100.4413680781759</v>
      </c>
      <c r="AB61" s="60">
        <f>AB60</f>
        <v>60698</v>
      </c>
      <c r="AC61" s="61">
        <f t="shared" si="68"/>
        <v>101.6030182213582</v>
      </c>
      <c r="AD61" s="60">
        <f>AD60</f>
        <v>-35318</v>
      </c>
      <c r="AE61" s="60">
        <f>AE60</f>
        <v>-34602</v>
      </c>
      <c r="AF61" s="60">
        <f>AF60</f>
        <v>96273</v>
      </c>
      <c r="AG61" s="60">
        <f>AG60</f>
        <v>61671</v>
      </c>
      <c r="AH61" s="61">
        <f t="shared" si="69"/>
        <v>97.97270513619118</v>
      </c>
      <c r="AI61" s="60">
        <f>AI60</f>
        <v>-33196</v>
      </c>
      <c r="AJ61" s="61">
        <f t="shared" si="70"/>
        <v>104.23545005422341</v>
      </c>
      <c r="AK61" s="61">
        <f>AE61/Z61*100</f>
        <v>-56.107408668580049</v>
      </c>
    </row>
    <row r="62" spans="1:37" s="62" customFormat="1">
      <c r="A62" s="63" t="s">
        <v>298</v>
      </c>
      <c r="B62" s="63" t="s">
        <v>296</v>
      </c>
      <c r="C62" s="63" t="s">
        <v>197</v>
      </c>
      <c r="D62" s="63" t="s">
        <v>324</v>
      </c>
      <c r="E62" s="63" t="s">
        <v>82</v>
      </c>
      <c r="F62" s="63"/>
      <c r="G62" s="63"/>
      <c r="H62" s="63"/>
      <c r="I62" s="63"/>
      <c r="J62" s="63"/>
      <c r="K62" s="63"/>
      <c r="L62" s="63" t="s">
        <v>225</v>
      </c>
      <c r="M62" s="63" t="s">
        <v>221</v>
      </c>
      <c r="N62" s="63" t="s">
        <v>225</v>
      </c>
      <c r="O62" s="63" t="s">
        <v>220</v>
      </c>
      <c r="P62" s="63" t="s">
        <v>257</v>
      </c>
      <c r="Q62" s="63" t="s">
        <v>258</v>
      </c>
      <c r="R62" s="63"/>
      <c r="S62" s="63"/>
      <c r="T62" s="63" t="s">
        <v>205</v>
      </c>
      <c r="U62" s="63" t="s">
        <v>206</v>
      </c>
      <c r="V62" s="63">
        <v>0</v>
      </c>
      <c r="W62" s="63">
        <v>940000</v>
      </c>
      <c r="X62" s="63" t="s">
        <v>111</v>
      </c>
      <c r="Y62" s="63">
        <v>2500000</v>
      </c>
      <c r="Z62" s="63">
        <v>3095270</v>
      </c>
      <c r="AA62" s="67">
        <f t="shared" si="67"/>
        <v>123.8108</v>
      </c>
      <c r="AB62" s="63">
        <v>3082046</v>
      </c>
      <c r="AC62" s="67">
        <f t="shared" si="68"/>
        <v>100.42906562718402</v>
      </c>
      <c r="AD62" s="63">
        <v>50000</v>
      </c>
      <c r="AE62" s="63">
        <v>91408</v>
      </c>
      <c r="AF62" s="63">
        <v>36620</v>
      </c>
      <c r="AG62" s="63">
        <v>128028</v>
      </c>
      <c r="AH62" s="67">
        <f t="shared" si="69"/>
        <v>182.816</v>
      </c>
      <c r="AI62" s="63">
        <v>79674</v>
      </c>
      <c r="AJ62" s="67">
        <f t="shared" si="70"/>
        <v>114.727514622085</v>
      </c>
      <c r="AK62" s="67">
        <f t="shared" ref="AK62" si="72">AE62/Z62*100</f>
        <v>2.9531510982886795</v>
      </c>
    </row>
    <row r="63" spans="1:37" s="62" customFormat="1">
      <c r="A63" s="60" t="s">
        <v>298</v>
      </c>
      <c r="B63" s="60" t="s">
        <v>296</v>
      </c>
      <c r="C63" s="60" t="s">
        <v>197</v>
      </c>
      <c r="D63" s="60" t="s">
        <v>324</v>
      </c>
      <c r="E63" s="60" t="s">
        <v>82</v>
      </c>
      <c r="F63" s="60"/>
      <c r="G63" s="60"/>
      <c r="H63" s="60"/>
      <c r="I63" s="60"/>
      <c r="J63" s="60"/>
      <c r="K63" s="60"/>
      <c r="L63" s="60" t="s">
        <v>224</v>
      </c>
      <c r="M63" s="60" t="s">
        <v>220</v>
      </c>
      <c r="N63" s="60" t="s">
        <v>224</v>
      </c>
      <c r="O63" s="60" t="s">
        <v>220</v>
      </c>
      <c r="P63" s="60" t="s">
        <v>256</v>
      </c>
      <c r="Q63" s="60" t="s">
        <v>258</v>
      </c>
      <c r="R63" s="60"/>
      <c r="S63" s="60"/>
      <c r="T63" s="60"/>
      <c r="U63" s="60"/>
      <c r="V63" s="60">
        <v>1</v>
      </c>
      <c r="W63" s="60"/>
      <c r="X63" s="60" t="s">
        <v>91</v>
      </c>
      <c r="Y63" s="60">
        <f>SUM(Y62:Y62)</f>
        <v>2500000</v>
      </c>
      <c r="Z63" s="60">
        <f>SUM(Z62:Z62)</f>
        <v>3095270</v>
      </c>
      <c r="AA63" s="61">
        <f t="shared" si="67"/>
        <v>123.8108</v>
      </c>
      <c r="AB63" s="60">
        <f>SUM(AB62:AB62)</f>
        <v>3082046</v>
      </c>
      <c r="AC63" s="61">
        <f t="shared" si="68"/>
        <v>100.42906562718402</v>
      </c>
      <c r="AD63" s="60">
        <f>SUM(AD62:AD62)</f>
        <v>50000</v>
      </c>
      <c r="AE63" s="60">
        <f>SUM(AE62:AE62)</f>
        <v>91408</v>
      </c>
      <c r="AF63" s="60">
        <f>SUM(AF62:AF62)</f>
        <v>36620</v>
      </c>
      <c r="AG63" s="60">
        <f>SUM(AG62:AG62)</f>
        <v>128028</v>
      </c>
      <c r="AH63" s="61">
        <f t="shared" si="69"/>
        <v>182.816</v>
      </c>
      <c r="AI63" s="60">
        <f>SUM(AI62:AI62)</f>
        <v>79674</v>
      </c>
      <c r="AJ63" s="61">
        <f t="shared" si="70"/>
        <v>114.727514622085</v>
      </c>
      <c r="AK63" s="61">
        <f>AE63/Z63*100</f>
        <v>2.9531510982886795</v>
      </c>
    </row>
    <row r="64" spans="1:37" s="62" customFormat="1">
      <c r="A64" s="63" t="s">
        <v>298</v>
      </c>
      <c r="B64" s="63" t="s">
        <v>296</v>
      </c>
      <c r="C64" s="63" t="s">
        <v>197</v>
      </c>
      <c r="D64" s="63" t="s">
        <v>324</v>
      </c>
      <c r="E64" s="63" t="s">
        <v>82</v>
      </c>
      <c r="F64" s="63"/>
      <c r="G64" s="63"/>
      <c r="H64" s="63"/>
      <c r="I64" s="63"/>
      <c r="J64" s="63"/>
      <c r="K64" s="63"/>
      <c r="L64" s="63" t="s">
        <v>225</v>
      </c>
      <c r="M64" s="63" t="s">
        <v>221</v>
      </c>
      <c r="N64" s="63" t="s">
        <v>225</v>
      </c>
      <c r="O64" s="63" t="s">
        <v>220</v>
      </c>
      <c r="P64" s="63" t="s">
        <v>256</v>
      </c>
      <c r="Q64" s="63" t="s">
        <v>258</v>
      </c>
      <c r="R64" s="63"/>
      <c r="S64" s="63"/>
      <c r="T64" s="63"/>
      <c r="U64" s="63"/>
      <c r="V64" s="63">
        <v>1</v>
      </c>
      <c r="W64" s="63"/>
      <c r="X64" s="63"/>
      <c r="Y64" s="63">
        <f>Y63</f>
        <v>2500000</v>
      </c>
      <c r="Z64" s="63">
        <f>Z63</f>
        <v>3095270</v>
      </c>
      <c r="AA64" s="67">
        <f t="shared" ref="AA64" si="73">Z64/Y64*100</f>
        <v>123.8108</v>
      </c>
      <c r="AB64" s="63">
        <f>AB63</f>
        <v>3082046</v>
      </c>
      <c r="AC64" s="67">
        <f t="shared" ref="AC64" si="74">Z64/AB64*100</f>
        <v>100.42906562718402</v>
      </c>
      <c r="AD64" s="63">
        <f>AD63</f>
        <v>50000</v>
      </c>
      <c r="AE64" s="63">
        <f>AE63</f>
        <v>91408</v>
      </c>
      <c r="AF64" s="63">
        <f t="shared" ref="AF64:AG64" si="75">AF63</f>
        <v>36620</v>
      </c>
      <c r="AG64" s="63">
        <f t="shared" si="75"/>
        <v>128028</v>
      </c>
      <c r="AH64" s="67">
        <f t="shared" ref="AH64" si="76">AE64/AD64*100</f>
        <v>182.816</v>
      </c>
      <c r="AI64" s="63">
        <f>AI63</f>
        <v>79674</v>
      </c>
      <c r="AJ64" s="67">
        <f t="shared" ref="AJ64" si="77">AE64/AI64*100</f>
        <v>114.727514622085</v>
      </c>
      <c r="AK64" s="67">
        <f t="shared" ref="AK64:AK65" si="78">AE64/Z64*100</f>
        <v>2.9531510982886795</v>
      </c>
    </row>
    <row r="65" spans="1:37" s="62" customFormat="1">
      <c r="A65" s="60" t="s">
        <v>298</v>
      </c>
      <c r="B65" s="60" t="s">
        <v>296</v>
      </c>
      <c r="C65" s="60" t="s">
        <v>197</v>
      </c>
      <c r="D65" s="60" t="s">
        <v>324</v>
      </c>
      <c r="E65" s="60" t="s">
        <v>82</v>
      </c>
      <c r="F65" s="60"/>
      <c r="G65" s="60"/>
      <c r="H65" s="60"/>
      <c r="I65" s="60"/>
      <c r="J65" s="60"/>
      <c r="K65" s="60"/>
      <c r="L65" s="60" t="s">
        <v>225</v>
      </c>
      <c r="M65" s="60" t="s">
        <v>221</v>
      </c>
      <c r="N65" s="60" t="s">
        <v>225</v>
      </c>
      <c r="O65" s="60" t="s">
        <v>220</v>
      </c>
      <c r="P65" s="59" t="s">
        <v>260</v>
      </c>
      <c r="Q65" s="60" t="s">
        <v>261</v>
      </c>
      <c r="R65" s="60"/>
      <c r="S65" s="60"/>
      <c r="T65" s="60" t="s">
        <v>205</v>
      </c>
      <c r="U65" s="60" t="s">
        <v>206</v>
      </c>
      <c r="V65" s="60">
        <v>0</v>
      </c>
      <c r="W65" s="60">
        <v>940000</v>
      </c>
      <c r="X65" s="60" t="s">
        <v>111</v>
      </c>
      <c r="Y65" s="60">
        <v>2500000</v>
      </c>
      <c r="Z65" s="60">
        <v>3095270</v>
      </c>
      <c r="AA65" s="61">
        <f>Z65/Y65*100</f>
        <v>123.8108</v>
      </c>
      <c r="AB65" s="60">
        <v>3082046</v>
      </c>
      <c r="AC65" s="61">
        <f>Z65/AB65*100</f>
        <v>100.42906562718402</v>
      </c>
      <c r="AD65" s="60">
        <v>50000</v>
      </c>
      <c r="AE65" s="60">
        <v>91408</v>
      </c>
      <c r="AF65" s="60">
        <v>36620</v>
      </c>
      <c r="AG65" s="60">
        <v>128028</v>
      </c>
      <c r="AH65" s="61">
        <f>AE65/AD65*100</f>
        <v>182.816</v>
      </c>
      <c r="AI65" s="60">
        <v>79674</v>
      </c>
      <c r="AJ65" s="61">
        <f>AE65/AI65*100</f>
        <v>114.727514622085</v>
      </c>
      <c r="AK65" s="61">
        <f t="shared" si="78"/>
        <v>2.9531510982886795</v>
      </c>
    </row>
    <row r="66" spans="1:37" s="62" customFormat="1">
      <c r="A66" s="63" t="s">
        <v>298</v>
      </c>
      <c r="B66" s="63" t="s">
        <v>296</v>
      </c>
      <c r="C66" s="63" t="s">
        <v>197</v>
      </c>
      <c r="D66" s="63" t="s">
        <v>324</v>
      </c>
      <c r="E66" s="63" t="s">
        <v>82</v>
      </c>
      <c r="F66" s="63"/>
      <c r="G66" s="63"/>
      <c r="H66" s="63"/>
      <c r="I66" s="63"/>
      <c r="J66" s="63"/>
      <c r="K66" s="63"/>
      <c r="L66" s="63" t="s">
        <v>225</v>
      </c>
      <c r="M66" s="63" t="s">
        <v>221</v>
      </c>
      <c r="N66" s="63" t="s">
        <v>225</v>
      </c>
      <c r="O66" s="63" t="s">
        <v>220</v>
      </c>
      <c r="P66" s="63" t="s">
        <v>259</v>
      </c>
      <c r="Q66" s="63" t="s">
        <v>261</v>
      </c>
      <c r="R66" s="63"/>
      <c r="S66" s="63"/>
      <c r="T66" s="63"/>
      <c r="U66" s="63"/>
      <c r="V66" s="63">
        <v>1</v>
      </c>
      <c r="W66" s="63"/>
      <c r="X66" s="63" t="s">
        <v>111</v>
      </c>
      <c r="Y66" s="63">
        <f>SUM(Y65:Y65)</f>
        <v>2500000</v>
      </c>
      <c r="Z66" s="63">
        <f>SUM(Z65:Z65)</f>
        <v>3095270</v>
      </c>
      <c r="AA66" s="67">
        <f>Z66/Y66*100</f>
        <v>123.8108</v>
      </c>
      <c r="AB66" s="63">
        <f>SUM(AB65:AB65)</f>
        <v>3082046</v>
      </c>
      <c r="AC66" s="67">
        <f>Z66/AB66*100</f>
        <v>100.42906562718402</v>
      </c>
      <c r="AD66" s="63">
        <f>SUM(AD65:AD65)</f>
        <v>50000</v>
      </c>
      <c r="AE66" s="63">
        <f>SUM(AE65:AE65)</f>
        <v>91408</v>
      </c>
      <c r="AF66" s="63">
        <f>SUM(AF65:AF65)</f>
        <v>36620</v>
      </c>
      <c r="AG66" s="63">
        <f>SUM(AG65:AG65)</f>
        <v>128028</v>
      </c>
      <c r="AH66" s="67">
        <f>AE66/AD66*100</f>
        <v>182.816</v>
      </c>
      <c r="AI66" s="63">
        <f>SUM(AI65:AI65)</f>
        <v>79674</v>
      </c>
      <c r="AJ66" s="67">
        <f>AE66/AI66*100</f>
        <v>114.727514622085</v>
      </c>
      <c r="AK66" s="67">
        <f>AE66/Z66*100</f>
        <v>2.9531510982886795</v>
      </c>
    </row>
    <row r="67" spans="1:37" s="62" customFormat="1">
      <c r="A67" s="60" t="s">
        <v>298</v>
      </c>
      <c r="B67" s="60" t="s">
        <v>296</v>
      </c>
      <c r="C67" s="60" t="s">
        <v>197</v>
      </c>
      <c r="D67" s="60" t="s">
        <v>324</v>
      </c>
      <c r="E67" s="60" t="s">
        <v>82</v>
      </c>
      <c r="F67" s="60"/>
      <c r="G67" s="60"/>
      <c r="H67" s="60"/>
      <c r="I67" s="60"/>
      <c r="J67" s="60"/>
      <c r="K67" s="60"/>
      <c r="L67" s="60" t="s">
        <v>224</v>
      </c>
      <c r="M67" s="60" t="s">
        <v>220</v>
      </c>
      <c r="N67" s="60" t="s">
        <v>224</v>
      </c>
      <c r="O67" s="60" t="s">
        <v>220</v>
      </c>
      <c r="P67" s="60" t="s">
        <v>259</v>
      </c>
      <c r="Q67" s="60" t="s">
        <v>261</v>
      </c>
      <c r="R67" s="60"/>
      <c r="S67" s="60"/>
      <c r="T67" s="60"/>
      <c r="U67" s="60"/>
      <c r="V67" s="60">
        <v>1</v>
      </c>
      <c r="W67" s="60"/>
      <c r="X67" s="60"/>
      <c r="Y67" s="60">
        <f>Y66</f>
        <v>2500000</v>
      </c>
      <c r="Z67" s="60">
        <f>Z66</f>
        <v>3095270</v>
      </c>
      <c r="AA67" s="61">
        <f t="shared" ref="AA67" si="79">Z67/Y67*100</f>
        <v>123.8108</v>
      </c>
      <c r="AB67" s="60">
        <f>AB66</f>
        <v>3082046</v>
      </c>
      <c r="AC67" s="61">
        <f t="shared" ref="AC67" si="80">Z67/AB67*100</f>
        <v>100.42906562718402</v>
      </c>
      <c r="AD67" s="60">
        <f>AD66</f>
        <v>50000</v>
      </c>
      <c r="AE67" s="60">
        <f>AE66</f>
        <v>91408</v>
      </c>
      <c r="AF67" s="60">
        <f t="shared" ref="AF67:AG67" si="81">AF66</f>
        <v>36620</v>
      </c>
      <c r="AG67" s="60">
        <f t="shared" si="81"/>
        <v>128028</v>
      </c>
      <c r="AH67" s="61">
        <f t="shared" ref="AH67" si="82">AE67/AD67*100</f>
        <v>182.816</v>
      </c>
      <c r="AI67" s="60">
        <f>AI66</f>
        <v>79674</v>
      </c>
      <c r="AJ67" s="61">
        <f t="shared" ref="AJ67" si="83">AE67/AI67*100</f>
        <v>114.727514622085</v>
      </c>
      <c r="AK67" s="61">
        <f t="shared" ref="AK67" si="84">AE67/Z67*100</f>
        <v>2.9531510982886795</v>
      </c>
    </row>
    <row r="68" spans="1:37" s="62" customFormat="1">
      <c r="A68" s="63" t="s">
        <v>298</v>
      </c>
      <c r="B68" s="63" t="s">
        <v>296</v>
      </c>
      <c r="C68" s="63" t="s">
        <v>197</v>
      </c>
      <c r="D68" s="63" t="s">
        <v>324</v>
      </c>
      <c r="E68" s="63" t="s">
        <v>82</v>
      </c>
      <c r="F68" s="63"/>
      <c r="G68" s="63"/>
      <c r="H68" s="63"/>
      <c r="I68" s="63"/>
      <c r="J68" s="63"/>
      <c r="K68" s="63"/>
      <c r="L68" s="63" t="s">
        <v>225</v>
      </c>
      <c r="M68" s="63" t="s">
        <v>221</v>
      </c>
      <c r="N68" s="63" t="s">
        <v>243</v>
      </c>
      <c r="O68" s="63" t="s">
        <v>266</v>
      </c>
      <c r="P68" s="63" t="s">
        <v>256</v>
      </c>
      <c r="Q68" s="63" t="s">
        <v>258</v>
      </c>
      <c r="R68" s="63"/>
      <c r="S68" s="63"/>
      <c r="T68" s="63" t="s">
        <v>205</v>
      </c>
      <c r="U68" s="63" t="s">
        <v>206</v>
      </c>
      <c r="V68" s="63">
        <v>0</v>
      </c>
      <c r="W68" s="63">
        <v>940000</v>
      </c>
      <c r="X68" s="63" t="s">
        <v>111</v>
      </c>
      <c r="Y68" s="63">
        <v>2500000</v>
      </c>
      <c r="Z68" s="63">
        <v>3095270</v>
      </c>
      <c r="AA68" s="67">
        <f>Z68/Y68*100</f>
        <v>123.8108</v>
      </c>
      <c r="AB68" s="63">
        <v>3082046</v>
      </c>
      <c r="AC68" s="67">
        <f>Z68/AB68*100</f>
        <v>100.42906562718402</v>
      </c>
      <c r="AD68" s="63">
        <v>50000</v>
      </c>
      <c r="AE68" s="63">
        <v>91408</v>
      </c>
      <c r="AF68" s="63">
        <v>36620</v>
      </c>
      <c r="AG68" s="63">
        <v>128028</v>
      </c>
      <c r="AH68" s="67">
        <f>AE68/AD68*100</f>
        <v>182.816</v>
      </c>
      <c r="AI68" s="63">
        <v>79674</v>
      </c>
      <c r="AJ68" s="67">
        <f>AE68/AI68*100</f>
        <v>114.727514622085</v>
      </c>
      <c r="AK68" s="67">
        <f>AE68/Z68*100</f>
        <v>2.9531510982886795</v>
      </c>
    </row>
    <row r="69" spans="1:37" s="62" customFormat="1">
      <c r="A69" s="60" t="s">
        <v>298</v>
      </c>
      <c r="B69" s="60" t="s">
        <v>296</v>
      </c>
      <c r="C69" s="60" t="s">
        <v>197</v>
      </c>
      <c r="D69" s="60" t="s">
        <v>324</v>
      </c>
      <c r="E69" s="60" t="s">
        <v>82</v>
      </c>
      <c r="F69" s="60"/>
      <c r="G69" s="60"/>
      <c r="H69" s="60"/>
      <c r="I69" s="60"/>
      <c r="J69" s="60"/>
      <c r="K69" s="60"/>
      <c r="L69" s="60" t="s">
        <v>224</v>
      </c>
      <c r="M69" s="60" t="s">
        <v>220</v>
      </c>
      <c r="N69" s="60" t="s">
        <v>242</v>
      </c>
      <c r="O69" s="60" t="s">
        <v>266</v>
      </c>
      <c r="P69" s="60" t="s">
        <v>256</v>
      </c>
      <c r="Q69" s="60" t="s">
        <v>258</v>
      </c>
      <c r="R69" s="60"/>
      <c r="S69" s="60"/>
      <c r="T69" s="60"/>
      <c r="U69" s="60"/>
      <c r="V69" s="60">
        <v>1</v>
      </c>
      <c r="W69" s="60"/>
      <c r="X69" s="60" t="s">
        <v>91</v>
      </c>
      <c r="Y69" s="60">
        <f>SUM(Y68:Y68)</f>
        <v>2500000</v>
      </c>
      <c r="Z69" s="60">
        <f>SUM(Z68:Z68)</f>
        <v>3095270</v>
      </c>
      <c r="AA69" s="61">
        <f>Z69/Y69*100</f>
        <v>123.8108</v>
      </c>
      <c r="AB69" s="60">
        <f>SUM(AB68:AB68)</f>
        <v>3082046</v>
      </c>
      <c r="AC69" s="61">
        <f>Z69/AB69*100</f>
        <v>100.42906562718402</v>
      </c>
      <c r="AD69" s="60">
        <f>SUM(AD68:AD68)</f>
        <v>50000</v>
      </c>
      <c r="AE69" s="60">
        <f>SUM(AE68:AE68)</f>
        <v>91408</v>
      </c>
      <c r="AF69" s="60">
        <f>SUM(AF68:AF68)</f>
        <v>36620</v>
      </c>
      <c r="AG69" s="60">
        <f>SUM(AG68:AG68)</f>
        <v>128028</v>
      </c>
      <c r="AH69" s="61">
        <f>AE69/AD69*100</f>
        <v>182.816</v>
      </c>
      <c r="AI69" s="60">
        <f>SUM(AI68:AI68)</f>
        <v>79674</v>
      </c>
      <c r="AJ69" s="61">
        <f>AE69/AI69*100</f>
        <v>114.727514622085</v>
      </c>
      <c r="AK69" s="61">
        <f>AE69/Z69*100</f>
        <v>2.9531510982886795</v>
      </c>
    </row>
    <row r="70" spans="1:37" s="62" customFormat="1">
      <c r="A70" s="63" t="s">
        <v>298</v>
      </c>
      <c r="B70" s="63" t="s">
        <v>296</v>
      </c>
      <c r="C70" s="63" t="s">
        <v>197</v>
      </c>
      <c r="D70" s="63" t="s">
        <v>324</v>
      </c>
      <c r="E70" s="63" t="s">
        <v>82</v>
      </c>
      <c r="F70" s="63"/>
      <c r="G70" s="63"/>
      <c r="H70" s="63"/>
      <c r="I70" s="63"/>
      <c r="J70" s="63"/>
      <c r="K70" s="63"/>
      <c r="L70" s="63" t="s">
        <v>225</v>
      </c>
      <c r="M70" s="63" t="s">
        <v>221</v>
      </c>
      <c r="N70" s="63" t="s">
        <v>243</v>
      </c>
      <c r="O70" s="63" t="s">
        <v>266</v>
      </c>
      <c r="P70" s="63" t="s">
        <v>256</v>
      </c>
      <c r="Q70" s="63" t="s">
        <v>258</v>
      </c>
      <c r="R70" s="63"/>
      <c r="S70" s="63"/>
      <c r="T70" s="63"/>
      <c r="U70" s="63"/>
      <c r="V70" s="63">
        <v>1</v>
      </c>
      <c r="W70" s="63"/>
      <c r="X70" s="63"/>
      <c r="Y70" s="63">
        <f>Y69</f>
        <v>2500000</v>
      </c>
      <c r="Z70" s="63">
        <f>Z69</f>
        <v>3095270</v>
      </c>
      <c r="AA70" s="67">
        <f t="shared" ref="AA70" si="85">Z70/Y70*100</f>
        <v>123.8108</v>
      </c>
      <c r="AB70" s="63">
        <f>AB69</f>
        <v>3082046</v>
      </c>
      <c r="AC70" s="67">
        <f t="shared" ref="AC70" si="86">Z70/AB70*100</f>
        <v>100.42906562718402</v>
      </c>
      <c r="AD70" s="63">
        <f>AD69</f>
        <v>50000</v>
      </c>
      <c r="AE70" s="63">
        <f>AE69</f>
        <v>91408</v>
      </c>
      <c r="AF70" s="63">
        <f t="shared" ref="AF70:AG70" si="87">AF69</f>
        <v>36620</v>
      </c>
      <c r="AG70" s="63">
        <f t="shared" si="87"/>
        <v>128028</v>
      </c>
      <c r="AH70" s="67">
        <f t="shared" ref="AH70" si="88">AE70/AD70*100</f>
        <v>182.816</v>
      </c>
      <c r="AI70" s="63">
        <f>AI69</f>
        <v>79674</v>
      </c>
      <c r="AJ70" s="67">
        <f t="shared" ref="AJ70" si="89">AE70/AI70*100</f>
        <v>114.727514622085</v>
      </c>
      <c r="AK70" s="67">
        <f t="shared" ref="AK70:AK71" si="90">AE70/Z70*100</f>
        <v>2.9531510982886795</v>
      </c>
    </row>
    <row r="71" spans="1:37" s="62" customFormat="1">
      <c r="A71" s="60" t="s">
        <v>298</v>
      </c>
      <c r="B71" s="60" t="s">
        <v>296</v>
      </c>
      <c r="C71" s="60" t="s">
        <v>197</v>
      </c>
      <c r="D71" s="60" t="s">
        <v>324</v>
      </c>
      <c r="E71" s="60" t="s">
        <v>82</v>
      </c>
      <c r="F71" s="60"/>
      <c r="G71" s="60"/>
      <c r="H71" s="60"/>
      <c r="I71" s="60"/>
      <c r="J71" s="60"/>
      <c r="K71" s="60"/>
      <c r="L71" s="60" t="s">
        <v>225</v>
      </c>
      <c r="M71" s="60" t="s">
        <v>221</v>
      </c>
      <c r="N71" s="60" t="s">
        <v>243</v>
      </c>
      <c r="O71" s="60" t="s">
        <v>266</v>
      </c>
      <c r="P71" s="60" t="s">
        <v>259</v>
      </c>
      <c r="Q71" s="60" t="s">
        <v>261</v>
      </c>
      <c r="R71" s="60"/>
      <c r="S71" s="60"/>
      <c r="T71" s="60" t="s">
        <v>205</v>
      </c>
      <c r="U71" s="60" t="s">
        <v>206</v>
      </c>
      <c r="V71" s="60">
        <v>0</v>
      </c>
      <c r="W71" s="60">
        <v>940000</v>
      </c>
      <c r="X71" s="60" t="s">
        <v>111</v>
      </c>
      <c r="Y71" s="60">
        <v>2500000</v>
      </c>
      <c r="Z71" s="60">
        <v>3095270</v>
      </c>
      <c r="AA71" s="61">
        <f>Z71/Y71*100</f>
        <v>123.8108</v>
      </c>
      <c r="AB71" s="60">
        <v>3082046</v>
      </c>
      <c r="AC71" s="61">
        <f>Z71/AB71*100</f>
        <v>100.42906562718402</v>
      </c>
      <c r="AD71" s="60">
        <v>50000</v>
      </c>
      <c r="AE71" s="60">
        <v>91408</v>
      </c>
      <c r="AF71" s="60">
        <v>36620</v>
      </c>
      <c r="AG71" s="60">
        <v>128028</v>
      </c>
      <c r="AH71" s="61">
        <f>AE71/AD71*100</f>
        <v>182.816</v>
      </c>
      <c r="AI71" s="60">
        <v>79674</v>
      </c>
      <c r="AJ71" s="61">
        <f>AE71/AI71*100</f>
        <v>114.727514622085</v>
      </c>
      <c r="AK71" s="61">
        <f t="shared" si="90"/>
        <v>2.9531510982886795</v>
      </c>
    </row>
    <row r="72" spans="1:37" s="62" customFormat="1">
      <c r="A72" s="63" t="s">
        <v>298</v>
      </c>
      <c r="B72" s="63" t="s">
        <v>296</v>
      </c>
      <c r="C72" s="63" t="s">
        <v>197</v>
      </c>
      <c r="D72" s="63" t="s">
        <v>324</v>
      </c>
      <c r="E72" s="63" t="s">
        <v>82</v>
      </c>
      <c r="F72" s="63"/>
      <c r="G72" s="63"/>
      <c r="H72" s="63"/>
      <c r="I72" s="63"/>
      <c r="J72" s="63"/>
      <c r="K72" s="63"/>
      <c r="L72" s="63" t="s">
        <v>225</v>
      </c>
      <c r="M72" s="63" t="s">
        <v>221</v>
      </c>
      <c r="N72" s="63" t="s">
        <v>243</v>
      </c>
      <c r="O72" s="63" t="s">
        <v>266</v>
      </c>
      <c r="P72" s="63" t="s">
        <v>259</v>
      </c>
      <c r="Q72" s="63" t="s">
        <v>261</v>
      </c>
      <c r="R72" s="63"/>
      <c r="S72" s="63"/>
      <c r="T72" s="63"/>
      <c r="U72" s="63"/>
      <c r="V72" s="63">
        <v>1</v>
      </c>
      <c r="W72" s="63"/>
      <c r="X72" s="63" t="s">
        <v>111</v>
      </c>
      <c r="Y72" s="63">
        <f>SUM(Y71:Y71)</f>
        <v>2500000</v>
      </c>
      <c r="Z72" s="63">
        <f>SUM(Z71:Z71)</f>
        <v>3095270</v>
      </c>
      <c r="AA72" s="67">
        <f>Z72/Y72*100</f>
        <v>123.8108</v>
      </c>
      <c r="AB72" s="63">
        <f>SUM(AB71:AB71)</f>
        <v>3082046</v>
      </c>
      <c r="AC72" s="67">
        <f>Z72/AB72*100</f>
        <v>100.42906562718402</v>
      </c>
      <c r="AD72" s="63">
        <f>SUM(AD71:AD71)</f>
        <v>50000</v>
      </c>
      <c r="AE72" s="63">
        <f>SUM(AE71:AE71)</f>
        <v>91408</v>
      </c>
      <c r="AF72" s="63">
        <f>SUM(AF71:AF71)</f>
        <v>36620</v>
      </c>
      <c r="AG72" s="63">
        <f>SUM(AG71:AG71)</f>
        <v>128028</v>
      </c>
      <c r="AH72" s="67">
        <f>AE72/AD72*100</f>
        <v>182.816</v>
      </c>
      <c r="AI72" s="63">
        <f>SUM(AI71:AI71)</f>
        <v>79674</v>
      </c>
      <c r="AJ72" s="67">
        <f>AE72/AI72*100</f>
        <v>114.727514622085</v>
      </c>
      <c r="AK72" s="67">
        <f>AE72/Z72*100</f>
        <v>2.9531510982886795</v>
      </c>
    </row>
    <row r="73" spans="1:37" s="62" customFormat="1">
      <c r="A73" s="60" t="s">
        <v>298</v>
      </c>
      <c r="B73" s="60" t="s">
        <v>296</v>
      </c>
      <c r="C73" s="60" t="s">
        <v>197</v>
      </c>
      <c r="D73" s="60" t="s">
        <v>324</v>
      </c>
      <c r="E73" s="60" t="s">
        <v>82</v>
      </c>
      <c r="F73" s="60"/>
      <c r="G73" s="60"/>
      <c r="H73" s="60"/>
      <c r="I73" s="60"/>
      <c r="J73" s="60"/>
      <c r="K73" s="60"/>
      <c r="L73" s="60" t="s">
        <v>224</v>
      </c>
      <c r="M73" s="60" t="s">
        <v>220</v>
      </c>
      <c r="N73" s="60" t="s">
        <v>242</v>
      </c>
      <c r="O73" s="60" t="s">
        <v>266</v>
      </c>
      <c r="P73" s="60" t="s">
        <v>259</v>
      </c>
      <c r="Q73" s="60" t="s">
        <v>261</v>
      </c>
      <c r="R73" s="60"/>
      <c r="S73" s="60"/>
      <c r="T73" s="60"/>
      <c r="U73" s="60"/>
      <c r="V73" s="60">
        <v>1</v>
      </c>
      <c r="W73" s="60"/>
      <c r="X73" s="60"/>
      <c r="Y73" s="60">
        <f>Y72</f>
        <v>2500000</v>
      </c>
      <c r="Z73" s="60">
        <f>Z72</f>
        <v>3095270</v>
      </c>
      <c r="AA73" s="61">
        <f t="shared" ref="AA73" si="91">Z73/Y73*100</f>
        <v>123.8108</v>
      </c>
      <c r="AB73" s="60">
        <f>AB72</f>
        <v>3082046</v>
      </c>
      <c r="AC73" s="61">
        <f t="shared" ref="AC73" si="92">Z73/AB73*100</f>
        <v>100.42906562718402</v>
      </c>
      <c r="AD73" s="60">
        <f>AD72</f>
        <v>50000</v>
      </c>
      <c r="AE73" s="60">
        <f>AE72</f>
        <v>91408</v>
      </c>
      <c r="AF73" s="60">
        <f t="shared" ref="AF73:AG73" si="93">AF72</f>
        <v>36620</v>
      </c>
      <c r="AG73" s="60">
        <f t="shared" si="93"/>
        <v>128028</v>
      </c>
      <c r="AH73" s="61">
        <f t="shared" ref="AH73" si="94">AE73/AD73*100</f>
        <v>182.816</v>
      </c>
      <c r="AI73" s="60">
        <f>AI72</f>
        <v>79674</v>
      </c>
      <c r="AJ73" s="61">
        <f t="shared" ref="AJ73" si="95">AE73/AI73*100</f>
        <v>114.727514622085</v>
      </c>
      <c r="AK73" s="61">
        <f>AE73/Z73*100</f>
        <v>2.9531510982886795</v>
      </c>
    </row>
    <row r="74" spans="1:37" s="62" customFormat="1">
      <c r="A74" s="63" t="s">
        <v>298</v>
      </c>
      <c r="B74" s="63" t="s">
        <v>296</v>
      </c>
      <c r="C74" s="63" t="s">
        <v>197</v>
      </c>
      <c r="D74" s="63" t="s">
        <v>324</v>
      </c>
      <c r="E74" s="63" t="s">
        <v>82</v>
      </c>
      <c r="F74" s="63"/>
      <c r="G74" s="63"/>
      <c r="H74" s="63"/>
      <c r="I74" s="63"/>
      <c r="J74" s="63"/>
      <c r="K74" s="63"/>
      <c r="L74" s="63"/>
      <c r="M74" s="63"/>
      <c r="N74" s="63" t="s">
        <v>247</v>
      </c>
      <c r="O74" s="63" t="s">
        <v>244</v>
      </c>
      <c r="P74" s="63" t="s">
        <v>214</v>
      </c>
      <c r="Q74" s="63" t="s">
        <v>262</v>
      </c>
      <c r="R74" s="63" t="s">
        <v>213</v>
      </c>
      <c r="S74" s="63" t="s">
        <v>262</v>
      </c>
      <c r="T74" s="63"/>
      <c r="U74" s="63"/>
      <c r="V74" s="63">
        <v>0</v>
      </c>
      <c r="W74" s="64">
        <v>941000</v>
      </c>
      <c r="X74" s="64" t="s">
        <v>92</v>
      </c>
      <c r="Y74" s="63">
        <v>2500000</v>
      </c>
      <c r="Z74" s="63">
        <v>3095270</v>
      </c>
      <c r="AA74" s="67">
        <f>Z74/Y74*100</f>
        <v>123.8108</v>
      </c>
      <c r="AB74" s="63">
        <v>3082046</v>
      </c>
      <c r="AC74" s="67">
        <f>Z74/AB74*100</f>
        <v>100.42906562718402</v>
      </c>
      <c r="AD74" s="63">
        <v>50000</v>
      </c>
      <c r="AE74" s="63">
        <v>91408</v>
      </c>
      <c r="AF74" s="63">
        <v>36620</v>
      </c>
      <c r="AG74" s="63">
        <v>128028</v>
      </c>
      <c r="AH74" s="67">
        <f>AE74/AD74*100</f>
        <v>182.816</v>
      </c>
      <c r="AI74" s="63">
        <v>79674</v>
      </c>
      <c r="AJ74" s="67">
        <f>AE74/AI74*100</f>
        <v>114.727514622085</v>
      </c>
      <c r="AK74" s="67">
        <f t="shared" ref="AK74" si="96">AE74/Z74*100</f>
        <v>2.9531510982886795</v>
      </c>
    </row>
    <row r="75" spans="1:37" s="62" customFormat="1">
      <c r="A75" s="60" t="s">
        <v>298</v>
      </c>
      <c r="B75" s="60" t="s">
        <v>296</v>
      </c>
      <c r="C75" s="60" t="s">
        <v>197</v>
      </c>
      <c r="D75" s="60" t="s">
        <v>324</v>
      </c>
      <c r="E75" s="60" t="s">
        <v>82</v>
      </c>
      <c r="F75" s="60"/>
      <c r="G75" s="60"/>
      <c r="H75" s="60"/>
      <c r="I75" s="60"/>
      <c r="J75" s="60"/>
      <c r="K75" s="60"/>
      <c r="L75" s="60"/>
      <c r="M75" s="60"/>
      <c r="N75" s="60" t="s">
        <v>246</v>
      </c>
      <c r="O75" s="60" t="s">
        <v>244</v>
      </c>
      <c r="P75" s="60" t="s">
        <v>213</v>
      </c>
      <c r="Q75" s="60" t="s">
        <v>262</v>
      </c>
      <c r="R75" s="60" t="s">
        <v>213</v>
      </c>
      <c r="S75" s="60" t="s">
        <v>262</v>
      </c>
      <c r="T75" s="60"/>
      <c r="U75" s="60"/>
      <c r="V75" s="60">
        <v>1</v>
      </c>
      <c r="W75" s="63"/>
      <c r="X75" s="63" t="s">
        <v>207</v>
      </c>
      <c r="Y75" s="60">
        <f>SUM(Y74:Y74)</f>
        <v>2500000</v>
      </c>
      <c r="Z75" s="60">
        <f>SUM(Z74:Z74)</f>
        <v>3095270</v>
      </c>
      <c r="AA75" s="61">
        <f>Z75/Y75*100</f>
        <v>123.8108</v>
      </c>
      <c r="AB75" s="60">
        <f>SUM(AB74:AB74)</f>
        <v>3082046</v>
      </c>
      <c r="AC75" s="61">
        <f>Z75/AB75*100</f>
        <v>100.42906562718402</v>
      </c>
      <c r="AD75" s="60">
        <f>SUM(AD74:AD74)</f>
        <v>50000</v>
      </c>
      <c r="AE75" s="60">
        <f>SUM(AE74:AE74)</f>
        <v>91408</v>
      </c>
      <c r="AF75" s="60">
        <f>SUM(AF74:AF74)</f>
        <v>36620</v>
      </c>
      <c r="AG75" s="60">
        <f>SUM(AG74:AG74)</f>
        <v>128028</v>
      </c>
      <c r="AH75" s="61">
        <f>AE75/AD75*100</f>
        <v>182.816</v>
      </c>
      <c r="AI75" s="60">
        <f>SUM(AI74:AI74)</f>
        <v>79674</v>
      </c>
      <c r="AJ75" s="61">
        <f>AE75/AI75*100</f>
        <v>114.727514622085</v>
      </c>
      <c r="AK75" s="61">
        <f>AE75/Z75*100</f>
        <v>2.9531510982886795</v>
      </c>
    </row>
    <row r="76" spans="1:37" s="62" customFormat="1">
      <c r="A76" s="63" t="s">
        <v>298</v>
      </c>
      <c r="B76" s="63" t="s">
        <v>296</v>
      </c>
      <c r="C76" s="63" t="s">
        <v>197</v>
      </c>
      <c r="D76" s="63" t="s">
        <v>324</v>
      </c>
      <c r="E76" s="63" t="s">
        <v>82</v>
      </c>
      <c r="F76" s="63"/>
      <c r="G76" s="63"/>
      <c r="H76" s="63"/>
      <c r="I76" s="63"/>
      <c r="J76" s="63"/>
      <c r="K76" s="63"/>
      <c r="L76" s="63"/>
      <c r="M76" s="63"/>
      <c r="N76" s="63" t="s">
        <v>247</v>
      </c>
      <c r="O76" s="63" t="s">
        <v>244</v>
      </c>
      <c r="P76" s="63" t="s">
        <v>213</v>
      </c>
      <c r="Q76" s="63" t="s">
        <v>262</v>
      </c>
      <c r="R76" s="63" t="s">
        <v>213</v>
      </c>
      <c r="S76" s="63" t="s">
        <v>262</v>
      </c>
      <c r="T76" s="63"/>
      <c r="U76" s="63"/>
      <c r="V76" s="63">
        <v>1</v>
      </c>
      <c r="W76" s="63"/>
      <c r="X76" s="63"/>
      <c r="Y76" s="63">
        <f>Y75</f>
        <v>2500000</v>
      </c>
      <c r="Z76" s="63">
        <f>Z75</f>
        <v>3095270</v>
      </c>
      <c r="AA76" s="67">
        <f t="shared" ref="AA76" si="97">Z76/Y76*100</f>
        <v>123.8108</v>
      </c>
      <c r="AB76" s="63">
        <f>AB75</f>
        <v>3082046</v>
      </c>
      <c r="AC76" s="67">
        <f t="shared" ref="AC76" si="98">Z76/AB76*100</f>
        <v>100.42906562718402</v>
      </c>
      <c r="AD76" s="63">
        <f>AD75</f>
        <v>50000</v>
      </c>
      <c r="AE76" s="63">
        <f>AE75</f>
        <v>91408</v>
      </c>
      <c r="AF76" s="63">
        <f t="shared" ref="AF76:AG76" si="99">AF75</f>
        <v>36620</v>
      </c>
      <c r="AG76" s="63">
        <f t="shared" si="99"/>
        <v>128028</v>
      </c>
      <c r="AH76" s="67">
        <f t="shared" ref="AH76" si="100">AE76/AD76*100</f>
        <v>182.816</v>
      </c>
      <c r="AI76" s="63">
        <f>AI75</f>
        <v>79674</v>
      </c>
      <c r="AJ76" s="67">
        <f t="shared" ref="AJ76" si="101">AE76/AI76*100</f>
        <v>114.727514622085</v>
      </c>
      <c r="AK76" s="67">
        <f t="shared" ref="AK76:AK77" si="102">AE76/Z76*100</f>
        <v>2.9531510982886795</v>
      </c>
    </row>
    <row r="77" spans="1:37" s="62" customFormat="1">
      <c r="A77" s="60" t="s">
        <v>298</v>
      </c>
      <c r="B77" s="60" t="s">
        <v>296</v>
      </c>
      <c r="C77" s="60" t="s">
        <v>197</v>
      </c>
      <c r="D77" s="60" t="s">
        <v>324</v>
      </c>
      <c r="E77" s="60" t="s">
        <v>82</v>
      </c>
      <c r="F77" s="60"/>
      <c r="G77" s="60"/>
      <c r="H77" s="60"/>
      <c r="I77" s="60"/>
      <c r="J77" s="60"/>
      <c r="K77" s="60"/>
      <c r="L77" s="60"/>
      <c r="M77" s="60"/>
      <c r="N77" s="60" t="s">
        <v>246</v>
      </c>
      <c r="O77" s="60" t="s">
        <v>244</v>
      </c>
      <c r="P77" s="59" t="s">
        <v>198</v>
      </c>
      <c r="Q77" s="60" t="s">
        <v>263</v>
      </c>
      <c r="R77" s="60" t="s">
        <v>197</v>
      </c>
      <c r="S77" s="60" t="s">
        <v>263</v>
      </c>
      <c r="T77" s="60"/>
      <c r="U77" s="60"/>
      <c r="V77" s="60">
        <v>0</v>
      </c>
      <c r="W77" s="60">
        <v>941000</v>
      </c>
      <c r="X77" s="60" t="s">
        <v>92</v>
      </c>
      <c r="Y77" s="60">
        <v>2500000</v>
      </c>
      <c r="Z77" s="60">
        <v>3095270</v>
      </c>
      <c r="AA77" s="61">
        <f>Z77/Y77*100</f>
        <v>123.8108</v>
      </c>
      <c r="AB77" s="60">
        <v>3082046</v>
      </c>
      <c r="AC77" s="61">
        <f>Z77/AB77*100</f>
        <v>100.42906562718402</v>
      </c>
      <c r="AD77" s="60">
        <v>50000</v>
      </c>
      <c r="AE77" s="60">
        <v>91408</v>
      </c>
      <c r="AF77" s="60">
        <v>36620</v>
      </c>
      <c r="AG77" s="60">
        <v>128028</v>
      </c>
      <c r="AH77" s="61">
        <f>AE77/AD77*100</f>
        <v>182.816</v>
      </c>
      <c r="AI77" s="60">
        <v>79674</v>
      </c>
      <c r="AJ77" s="61">
        <f>AE77/AI77*100</f>
        <v>114.727514622085</v>
      </c>
      <c r="AK77" s="61">
        <f t="shared" si="102"/>
        <v>2.9531510982886795</v>
      </c>
    </row>
    <row r="78" spans="1:37" s="62" customFormat="1">
      <c r="A78" s="63" t="s">
        <v>298</v>
      </c>
      <c r="B78" s="63" t="s">
        <v>296</v>
      </c>
      <c r="C78" s="63" t="s">
        <v>197</v>
      </c>
      <c r="D78" s="63" t="s">
        <v>324</v>
      </c>
      <c r="E78" s="63" t="s">
        <v>82</v>
      </c>
      <c r="F78" s="63"/>
      <c r="G78" s="63"/>
      <c r="H78" s="63"/>
      <c r="I78" s="63"/>
      <c r="J78" s="63"/>
      <c r="K78" s="63"/>
      <c r="L78" s="63"/>
      <c r="M78" s="63"/>
      <c r="N78" s="63" t="s">
        <v>247</v>
      </c>
      <c r="O78" s="63" t="s">
        <v>244</v>
      </c>
      <c r="P78" s="63" t="s">
        <v>197</v>
      </c>
      <c r="Q78" s="63" t="s">
        <v>263</v>
      </c>
      <c r="R78" s="63" t="s">
        <v>197</v>
      </c>
      <c r="S78" s="63" t="s">
        <v>263</v>
      </c>
      <c r="T78" s="63"/>
      <c r="U78" s="63"/>
      <c r="V78" s="63">
        <v>1</v>
      </c>
      <c r="W78" s="63"/>
      <c r="X78" s="63" t="s">
        <v>207</v>
      </c>
      <c r="Y78" s="63">
        <f>SUM(Y77:Y77)</f>
        <v>2500000</v>
      </c>
      <c r="Z78" s="63">
        <f>SUM(Z77:Z77)</f>
        <v>3095270</v>
      </c>
      <c r="AA78" s="67">
        <f>Z78/Y78*100</f>
        <v>123.8108</v>
      </c>
      <c r="AB78" s="63">
        <f>SUM(AB77:AB77)</f>
        <v>3082046</v>
      </c>
      <c r="AC78" s="67">
        <f>Z78/AB78*100</f>
        <v>100.42906562718402</v>
      </c>
      <c r="AD78" s="63">
        <f>SUM(AD77:AD77)</f>
        <v>50000</v>
      </c>
      <c r="AE78" s="63">
        <f>SUM(AE77:AE77)</f>
        <v>91408</v>
      </c>
      <c r="AF78" s="63">
        <f>SUM(AF77:AF77)</f>
        <v>36620</v>
      </c>
      <c r="AG78" s="63">
        <f>SUM(AG77:AG77)</f>
        <v>128028</v>
      </c>
      <c r="AH78" s="67">
        <f>AE78/AD78*100</f>
        <v>182.816</v>
      </c>
      <c r="AI78" s="63">
        <f>SUM(AI77:AI77)</f>
        <v>79674</v>
      </c>
      <c r="AJ78" s="67">
        <f>AE78/AI78*100</f>
        <v>114.727514622085</v>
      </c>
      <c r="AK78" s="67">
        <f>AE78/Z78*100</f>
        <v>2.9531510982886795</v>
      </c>
    </row>
    <row r="79" spans="1:37" s="62" customFormat="1">
      <c r="A79" s="60" t="s">
        <v>298</v>
      </c>
      <c r="B79" s="60" t="s">
        <v>296</v>
      </c>
      <c r="C79" s="60" t="s">
        <v>197</v>
      </c>
      <c r="D79" s="60" t="s">
        <v>324</v>
      </c>
      <c r="E79" s="60" t="s">
        <v>82</v>
      </c>
      <c r="F79" s="60"/>
      <c r="G79" s="60"/>
      <c r="H79" s="60"/>
      <c r="I79" s="60"/>
      <c r="J79" s="60"/>
      <c r="K79" s="60"/>
      <c r="L79" s="60"/>
      <c r="M79" s="60"/>
      <c r="N79" s="60" t="s">
        <v>246</v>
      </c>
      <c r="O79" s="60" t="s">
        <v>244</v>
      </c>
      <c r="P79" s="60" t="s">
        <v>197</v>
      </c>
      <c r="Q79" s="60" t="s">
        <v>263</v>
      </c>
      <c r="R79" s="60" t="s">
        <v>197</v>
      </c>
      <c r="S79" s="60" t="s">
        <v>263</v>
      </c>
      <c r="T79" s="60"/>
      <c r="U79" s="60"/>
      <c r="V79" s="60">
        <v>1</v>
      </c>
      <c r="W79" s="60"/>
      <c r="X79" s="60"/>
      <c r="Y79" s="60">
        <f>Y78</f>
        <v>2500000</v>
      </c>
      <c r="Z79" s="60">
        <f>Z78</f>
        <v>3095270</v>
      </c>
      <c r="AA79" s="61">
        <f t="shared" ref="AA79" si="103">Z79/Y79*100</f>
        <v>123.8108</v>
      </c>
      <c r="AB79" s="60">
        <f>AB78</f>
        <v>3082046</v>
      </c>
      <c r="AC79" s="61">
        <f t="shared" ref="AC79" si="104">Z79/AB79*100</f>
        <v>100.42906562718402</v>
      </c>
      <c r="AD79" s="60">
        <f>AD78</f>
        <v>50000</v>
      </c>
      <c r="AE79" s="60">
        <f>AE78</f>
        <v>91408</v>
      </c>
      <c r="AF79" s="60">
        <f t="shared" ref="AF79:AG79" si="105">AF78</f>
        <v>36620</v>
      </c>
      <c r="AG79" s="60">
        <f t="shared" si="105"/>
        <v>128028</v>
      </c>
      <c r="AH79" s="61">
        <f t="shared" ref="AH79" si="106">AE79/AD79*100</f>
        <v>182.816</v>
      </c>
      <c r="AI79" s="60">
        <f>AI78</f>
        <v>79674</v>
      </c>
      <c r="AJ79" s="61">
        <f t="shared" ref="AJ79" si="107">AE79/AI79*100</f>
        <v>114.727514622085</v>
      </c>
      <c r="AK79" s="61">
        <f t="shared" ref="AK79" si="108">AE79/Z79*100</f>
        <v>2.9531510982886795</v>
      </c>
    </row>
    <row r="80" spans="1:37" ht="14.4">
      <c r="A80" s="45"/>
      <c r="B80" s="45"/>
      <c r="F80" s="45"/>
      <c r="G80" s="45"/>
      <c r="H80" s="45"/>
      <c r="I80" s="46" t="s">
        <v>93</v>
      </c>
      <c r="AA80" s="74"/>
      <c r="AB80" s="74"/>
      <c r="AE80" s="74"/>
      <c r="AF80" s="74"/>
      <c r="AG80" s="74"/>
      <c r="AH80" s="74"/>
    </row>
    <row r="81" spans="1:40">
      <c r="A81" s="45"/>
      <c r="F81" s="45"/>
      <c r="G81" s="45"/>
      <c r="H81" s="45"/>
      <c r="X81" s="42"/>
      <c r="Y81" s="43"/>
      <c r="Z81" s="43"/>
      <c r="AA81" s="43"/>
      <c r="AB81" s="43"/>
      <c r="AC81" s="44"/>
      <c r="AD81" s="43"/>
      <c r="AE81" s="43"/>
      <c r="AF81" s="43"/>
      <c r="AG81" s="43"/>
      <c r="AH81" s="43"/>
    </row>
    <row r="82" spans="1:40" s="45" customFormat="1" ht="16.2">
      <c r="A82" s="49" t="s">
        <v>203</v>
      </c>
      <c r="B82" s="56"/>
      <c r="AJ82" s="56"/>
      <c r="AK82" s="56"/>
      <c r="AL82" s="56"/>
      <c r="AM82" s="56"/>
      <c r="AN82" s="56"/>
    </row>
    <row r="83" spans="1:40" s="58" customFormat="1" ht="33.75" customHeight="1">
      <c r="A83" s="35" t="s">
        <v>125</v>
      </c>
      <c r="B83" s="35" t="s">
        <v>126</v>
      </c>
      <c r="C83" s="36" t="s">
        <v>192</v>
      </c>
      <c r="D83" s="36" t="s">
        <v>193</v>
      </c>
      <c r="E83" s="36" t="s">
        <v>127</v>
      </c>
      <c r="F83" s="35" t="s">
        <v>53</v>
      </c>
      <c r="G83" s="35" t="s">
        <v>128</v>
      </c>
      <c r="H83" s="37" t="s">
        <v>129</v>
      </c>
      <c r="I83" s="37" t="s">
        <v>130</v>
      </c>
      <c r="J83" s="37" t="s">
        <v>131</v>
      </c>
      <c r="K83" s="37" t="s">
        <v>132</v>
      </c>
      <c r="L83" s="37" t="s">
        <v>166</v>
      </c>
      <c r="M83" s="37" t="s">
        <v>167</v>
      </c>
      <c r="N83" s="37" t="s">
        <v>270</v>
      </c>
      <c r="O83" s="37" t="s">
        <v>271</v>
      </c>
      <c r="P83" s="37" t="s">
        <v>133</v>
      </c>
      <c r="Q83" s="37" t="s">
        <v>134</v>
      </c>
      <c r="R83" s="37" t="s">
        <v>200</v>
      </c>
      <c r="S83" s="37" t="s">
        <v>201</v>
      </c>
      <c r="T83" s="37" t="s">
        <v>99</v>
      </c>
      <c r="U83" s="37" t="s">
        <v>101</v>
      </c>
      <c r="V83" s="37" t="s">
        <v>135</v>
      </c>
      <c r="W83" s="37" t="s">
        <v>136</v>
      </c>
      <c r="X83" s="37" t="s">
        <v>137</v>
      </c>
      <c r="Y83" s="37" t="s">
        <v>138</v>
      </c>
      <c r="Z83" s="37" t="s">
        <v>139</v>
      </c>
      <c r="AA83" s="37" t="s">
        <v>140</v>
      </c>
      <c r="AB83" s="37" t="s">
        <v>141</v>
      </c>
      <c r="AC83" s="37" t="s">
        <v>142</v>
      </c>
      <c r="AD83" s="37" t="s">
        <v>143</v>
      </c>
      <c r="AE83" s="37" t="s">
        <v>144</v>
      </c>
      <c r="AF83" s="37" t="s">
        <v>145</v>
      </c>
      <c r="AG83" s="37" t="s">
        <v>146</v>
      </c>
      <c r="AH83" s="37" t="s">
        <v>147</v>
      </c>
      <c r="AI83" s="57" t="s">
        <v>148</v>
      </c>
      <c r="AJ83" s="57" t="s">
        <v>149</v>
      </c>
      <c r="AK83" s="57" t="s">
        <v>104</v>
      </c>
    </row>
    <row r="84" spans="1:40" s="62" customFormat="1">
      <c r="A84" s="63" t="s">
        <v>298</v>
      </c>
      <c r="B84" s="63" t="s">
        <v>296</v>
      </c>
      <c r="C84" s="63" t="s">
        <v>204</v>
      </c>
      <c r="D84" s="63" t="s">
        <v>300</v>
      </c>
      <c r="E84" s="63" t="s">
        <v>82</v>
      </c>
      <c r="F84" s="64">
        <v>90</v>
      </c>
      <c r="G84" s="64" t="s">
        <v>161</v>
      </c>
      <c r="H84" s="63"/>
      <c r="I84" s="63"/>
      <c r="J84" s="63"/>
      <c r="K84" s="63"/>
      <c r="L84" s="63"/>
      <c r="M84" s="63"/>
      <c r="N84" s="63"/>
      <c r="O84" s="63"/>
      <c r="P84" s="63"/>
      <c r="Q84" s="63"/>
      <c r="R84" s="63"/>
      <c r="S84" s="63"/>
      <c r="T84" s="63" t="s">
        <v>205</v>
      </c>
      <c r="U84" s="63" t="s">
        <v>206</v>
      </c>
      <c r="V84" s="63">
        <v>0</v>
      </c>
      <c r="W84" s="63">
        <v>940000</v>
      </c>
      <c r="X84" s="63" t="s">
        <v>111</v>
      </c>
      <c r="Y84" s="63">
        <f>SUM(Y94,Y99,Y104,Y108)</f>
        <v>30000000</v>
      </c>
      <c r="Z84" s="63">
        <f>SUM(Z94,Z99,Z104,Z108)</f>
        <v>43333780</v>
      </c>
      <c r="AA84" s="67">
        <f>Z84/Y84*100</f>
        <v>144.44593333333333</v>
      </c>
      <c r="AB84" s="63">
        <f>SUM(AB94,AB99,AB104,AB108)</f>
        <v>43148644</v>
      </c>
      <c r="AC84" s="67">
        <f>Z84/AB84*100</f>
        <v>100.42906562718402</v>
      </c>
      <c r="AD84" s="63">
        <f>SUM(AD94,AD99,AD104,AD108)</f>
        <v>700000</v>
      </c>
      <c r="AE84" s="63">
        <f>SUM(AE94,AE99,AE104,AE108)</f>
        <v>1279712</v>
      </c>
      <c r="AF84" s="63">
        <f>SUM(AF94,AF99,AF104,AF108)</f>
        <v>512680</v>
      </c>
      <c r="AG84" s="63">
        <f>SUM(AG94,AG99,AG104,AG108)</f>
        <v>1792392</v>
      </c>
      <c r="AH84" s="67">
        <f>AE84/AD84*100</f>
        <v>182.816</v>
      </c>
      <c r="AI84" s="63">
        <f>SUM(AI94,AI99,AI104,AI108)</f>
        <v>1115436</v>
      </c>
      <c r="AJ84" s="67">
        <f>AE84/AI84*100</f>
        <v>114.727514622085</v>
      </c>
      <c r="AK84" s="67">
        <f t="shared" ref="AK84" si="109">AE84/Z84*100</f>
        <v>2.9531510982886795</v>
      </c>
    </row>
    <row r="85" spans="1:40" s="62" customFormat="1">
      <c r="A85" s="60" t="s">
        <v>298</v>
      </c>
      <c r="B85" s="60" t="s">
        <v>296</v>
      </c>
      <c r="C85" s="60" t="s">
        <v>199</v>
      </c>
      <c r="D85" s="60" t="s">
        <v>300</v>
      </c>
      <c r="E85" s="60" t="s">
        <v>82</v>
      </c>
      <c r="F85" s="60">
        <v>90</v>
      </c>
      <c r="G85" s="60" t="s">
        <v>161</v>
      </c>
      <c r="H85" s="60"/>
      <c r="I85" s="60"/>
      <c r="J85" s="60"/>
      <c r="K85" s="60"/>
      <c r="L85" s="60"/>
      <c r="M85" s="60"/>
      <c r="N85" s="60"/>
      <c r="O85" s="60"/>
      <c r="P85" s="60"/>
      <c r="Q85" s="60"/>
      <c r="R85" s="60"/>
      <c r="S85" s="60"/>
      <c r="T85" s="60"/>
      <c r="U85" s="60"/>
      <c r="V85" s="60">
        <v>1</v>
      </c>
      <c r="W85" s="60"/>
      <c r="X85" s="60" t="s">
        <v>91</v>
      </c>
      <c r="Y85" s="60">
        <f>SUM(Y84:Y84)</f>
        <v>30000000</v>
      </c>
      <c r="Z85" s="60">
        <f>SUM(Z84:Z84)</f>
        <v>43333780</v>
      </c>
      <c r="AA85" s="61">
        <f>Z85/Y85*100</f>
        <v>144.44593333333333</v>
      </c>
      <c r="AB85" s="60">
        <f>SUM(AB84:AB84)</f>
        <v>43148644</v>
      </c>
      <c r="AC85" s="61">
        <f>Z85/AB85*100</f>
        <v>100.42906562718402</v>
      </c>
      <c r="AD85" s="60">
        <f>SUM(AD84:AD84)</f>
        <v>700000</v>
      </c>
      <c r="AE85" s="60">
        <f>SUM(AE84:AE84)</f>
        <v>1279712</v>
      </c>
      <c r="AF85" s="60">
        <f>SUM(AF84:AF84)</f>
        <v>512680</v>
      </c>
      <c r="AG85" s="60">
        <f>SUM(AG84:AG84)</f>
        <v>1792392</v>
      </c>
      <c r="AH85" s="61">
        <f>AE85/AD85*100</f>
        <v>182.816</v>
      </c>
      <c r="AI85" s="60">
        <f>SUM(AI84:AI84)</f>
        <v>1115436</v>
      </c>
      <c r="AJ85" s="61">
        <f>AE85/AI85*100</f>
        <v>114.727514622085</v>
      </c>
      <c r="AK85" s="61">
        <f>AE85/Z85*100</f>
        <v>2.9531510982886795</v>
      </c>
    </row>
    <row r="86" spans="1:40" s="62" customFormat="1">
      <c r="A86" s="63" t="s">
        <v>298</v>
      </c>
      <c r="B86" s="63" t="s">
        <v>296</v>
      </c>
      <c r="C86" s="63" t="s">
        <v>204</v>
      </c>
      <c r="D86" s="63" t="s">
        <v>300</v>
      </c>
      <c r="E86" s="63" t="s">
        <v>82</v>
      </c>
      <c r="F86" s="63">
        <v>90</v>
      </c>
      <c r="G86" s="63" t="s">
        <v>161</v>
      </c>
      <c r="H86" s="63"/>
      <c r="I86" s="63"/>
      <c r="J86" s="63"/>
      <c r="K86" s="63"/>
      <c r="L86" s="63"/>
      <c r="M86" s="63"/>
      <c r="N86" s="63"/>
      <c r="O86" s="63"/>
      <c r="P86" s="63"/>
      <c r="Q86" s="63"/>
      <c r="R86" s="63" t="s">
        <v>264</v>
      </c>
      <c r="S86" s="63" t="s">
        <v>212</v>
      </c>
      <c r="T86" s="63"/>
      <c r="U86" s="63"/>
      <c r="V86" s="63">
        <v>0</v>
      </c>
      <c r="W86" s="63">
        <v>941000</v>
      </c>
      <c r="X86" s="63" t="s">
        <v>207</v>
      </c>
      <c r="Y86" s="63">
        <f>Y95</f>
        <v>279463</v>
      </c>
      <c r="Z86" s="63">
        <f>Z95</f>
        <v>268638</v>
      </c>
      <c r="AA86" s="67">
        <f>Z86/Y86*100</f>
        <v>96.126499751308756</v>
      </c>
      <c r="AB86" s="63">
        <f>AB95</f>
        <v>267739</v>
      </c>
      <c r="AC86" s="67">
        <f>Z86/AB86*100</f>
        <v>100.33577476572333</v>
      </c>
      <c r="AD86" s="63">
        <f>AD95</f>
        <v>30903</v>
      </c>
      <c r="AE86" s="63">
        <f>AE95</f>
        <v>41792</v>
      </c>
      <c r="AF86" s="63">
        <f>AF95</f>
        <v>226845</v>
      </c>
      <c r="AG86" s="63">
        <f>AG95</f>
        <v>268637</v>
      </c>
      <c r="AH86" s="67">
        <f>AE86/AD86*100</f>
        <v>135.23606122382941</v>
      </c>
      <c r="AI86" s="63">
        <f>AI95</f>
        <v>42243</v>
      </c>
      <c r="AJ86" s="67">
        <f>AE86/AI86*100</f>
        <v>98.932367492839049</v>
      </c>
      <c r="AK86" s="67">
        <f>AE86/Z86*100</f>
        <v>15.556994915090197</v>
      </c>
    </row>
    <row r="87" spans="1:40" s="62" customFormat="1">
      <c r="A87" s="60" t="s">
        <v>298</v>
      </c>
      <c r="B87" s="60" t="s">
        <v>296</v>
      </c>
      <c r="C87" s="60" t="s">
        <v>204</v>
      </c>
      <c r="D87" s="60" t="s">
        <v>300</v>
      </c>
      <c r="E87" s="60" t="s">
        <v>82</v>
      </c>
      <c r="F87" s="60">
        <v>90</v>
      </c>
      <c r="G87" s="60" t="s">
        <v>161</v>
      </c>
      <c r="H87" s="60"/>
      <c r="I87" s="60"/>
      <c r="J87" s="60"/>
      <c r="K87" s="60"/>
      <c r="L87" s="60"/>
      <c r="M87" s="60"/>
      <c r="N87" s="60"/>
      <c r="O87" s="60"/>
      <c r="P87" s="60"/>
      <c r="Q87" s="60"/>
      <c r="R87" s="59" t="s">
        <v>265</v>
      </c>
      <c r="S87" s="60" t="s">
        <v>211</v>
      </c>
      <c r="T87" s="60"/>
      <c r="U87" s="60"/>
      <c r="V87" s="60">
        <v>0</v>
      </c>
      <c r="W87" s="60">
        <v>941000</v>
      </c>
      <c r="X87" s="60" t="s">
        <v>207</v>
      </c>
      <c r="Y87" s="60">
        <f>Y100</f>
        <v>61400</v>
      </c>
      <c r="Z87" s="60">
        <f>Z100</f>
        <v>61671</v>
      </c>
      <c r="AA87" s="61">
        <f t="shared" ref="AA87" si="110">Z87/Y87*100</f>
        <v>100.4413680781759</v>
      </c>
      <c r="AB87" s="60">
        <f>AB100</f>
        <v>60698</v>
      </c>
      <c r="AC87" s="61">
        <f t="shared" ref="AC87" si="111">Z87/AB87*100</f>
        <v>101.6030182213582</v>
      </c>
      <c r="AD87" s="60">
        <f>AD100</f>
        <v>-35318</v>
      </c>
      <c r="AE87" s="60">
        <f>AE100</f>
        <v>-34602</v>
      </c>
      <c r="AF87" s="60">
        <f>AF100</f>
        <v>96273</v>
      </c>
      <c r="AG87" s="60">
        <f>AG100</f>
        <v>61671</v>
      </c>
      <c r="AH87" s="61">
        <f t="shared" ref="AH87" si="112">AE87/AD87*100</f>
        <v>97.97270513619118</v>
      </c>
      <c r="AI87" s="60">
        <f>AI100</f>
        <v>-33196</v>
      </c>
      <c r="AJ87" s="61">
        <f t="shared" ref="AJ87" si="113">AE87/AI87*100</f>
        <v>104.23545005422341</v>
      </c>
      <c r="AK87" s="61">
        <f t="shared" ref="AK87" si="114">AE87/Z87*100</f>
        <v>-56.107408668580049</v>
      </c>
    </row>
    <row r="88" spans="1:40" s="62" customFormat="1">
      <c r="A88" s="63" t="s">
        <v>298</v>
      </c>
      <c r="B88" s="63" t="s">
        <v>296</v>
      </c>
      <c r="C88" s="63" t="s">
        <v>204</v>
      </c>
      <c r="D88" s="63" t="s">
        <v>300</v>
      </c>
      <c r="E88" s="63" t="s">
        <v>82</v>
      </c>
      <c r="F88" s="63">
        <v>90</v>
      </c>
      <c r="G88" s="63" t="s">
        <v>161</v>
      </c>
      <c r="H88" s="63"/>
      <c r="I88" s="63"/>
      <c r="J88" s="63"/>
      <c r="K88" s="63"/>
      <c r="L88" s="63"/>
      <c r="M88" s="63"/>
      <c r="N88" s="63"/>
      <c r="O88" s="63"/>
      <c r="P88" s="63"/>
      <c r="Q88" s="63"/>
      <c r="R88" s="63" t="s">
        <v>213</v>
      </c>
      <c r="S88" s="63" t="s">
        <v>262</v>
      </c>
      <c r="T88" s="63"/>
      <c r="U88" s="63"/>
      <c r="V88" s="63">
        <v>0</v>
      </c>
      <c r="W88" s="63">
        <v>941000</v>
      </c>
      <c r="X88" s="63" t="s">
        <v>207</v>
      </c>
      <c r="Y88" s="63">
        <f>Y106</f>
        <v>2500000</v>
      </c>
      <c r="Z88" s="63">
        <f>Z106</f>
        <v>6190540</v>
      </c>
      <c r="AA88" s="67">
        <f>Z88/Y88*100</f>
        <v>247.6216</v>
      </c>
      <c r="AB88" s="63">
        <f>AB106</f>
        <v>6164092</v>
      </c>
      <c r="AC88" s="67">
        <f>Z88/AB88*100</f>
        <v>100.42906562718402</v>
      </c>
      <c r="AD88" s="63">
        <f t="shared" ref="AD88:AG89" si="115">AD106</f>
        <v>100000</v>
      </c>
      <c r="AE88" s="63">
        <f t="shared" si="115"/>
        <v>182816</v>
      </c>
      <c r="AF88" s="63">
        <f t="shared" si="115"/>
        <v>73240</v>
      </c>
      <c r="AG88" s="63">
        <f t="shared" si="115"/>
        <v>256056</v>
      </c>
      <c r="AH88" s="67">
        <f>AE88/AD88*100</f>
        <v>182.816</v>
      </c>
      <c r="AI88" s="63">
        <f>AI106</f>
        <v>159348</v>
      </c>
      <c r="AJ88" s="67">
        <f>AE88/AI88*100</f>
        <v>114.727514622085</v>
      </c>
      <c r="AK88" s="67">
        <f>AE88/Z88*100</f>
        <v>2.9531510982886795</v>
      </c>
    </row>
    <row r="89" spans="1:40" s="62" customFormat="1">
      <c r="A89" s="60" t="s">
        <v>298</v>
      </c>
      <c r="B89" s="60" t="s">
        <v>296</v>
      </c>
      <c r="C89" s="60" t="s">
        <v>204</v>
      </c>
      <c r="D89" s="60" t="s">
        <v>300</v>
      </c>
      <c r="E89" s="60" t="s">
        <v>82</v>
      </c>
      <c r="F89" s="60">
        <v>90</v>
      </c>
      <c r="G89" s="60" t="s">
        <v>161</v>
      </c>
      <c r="H89" s="60"/>
      <c r="I89" s="60"/>
      <c r="J89" s="60"/>
      <c r="K89" s="60"/>
      <c r="L89" s="60"/>
      <c r="M89" s="60"/>
      <c r="N89" s="60"/>
      <c r="O89" s="60"/>
      <c r="P89" s="60"/>
      <c r="Q89" s="60"/>
      <c r="R89" s="60" t="s">
        <v>197</v>
      </c>
      <c r="S89" s="60" t="s">
        <v>263</v>
      </c>
      <c r="T89" s="60"/>
      <c r="U89" s="60"/>
      <c r="V89" s="60">
        <v>0</v>
      </c>
      <c r="W89" s="60">
        <v>941000</v>
      </c>
      <c r="X89" s="60" t="s">
        <v>207</v>
      </c>
      <c r="Y89" s="60">
        <f>Y107</f>
        <v>2500000</v>
      </c>
      <c r="Z89" s="60">
        <f>Z107</f>
        <v>6190540</v>
      </c>
      <c r="AA89" s="61">
        <f t="shared" ref="AA89:AA91" si="116">Z89/Y89*100</f>
        <v>247.6216</v>
      </c>
      <c r="AB89" s="60">
        <f>AB107</f>
        <v>6164092</v>
      </c>
      <c r="AC89" s="61">
        <f t="shared" ref="AC89:AC91" si="117">Z89/AB89*100</f>
        <v>100.42906562718402</v>
      </c>
      <c r="AD89" s="60">
        <f t="shared" si="115"/>
        <v>100000</v>
      </c>
      <c r="AE89" s="60">
        <f t="shared" si="115"/>
        <v>182816</v>
      </c>
      <c r="AF89" s="60">
        <f t="shared" si="115"/>
        <v>73240</v>
      </c>
      <c r="AG89" s="60">
        <f t="shared" si="115"/>
        <v>256056</v>
      </c>
      <c r="AH89" s="61">
        <f t="shared" ref="AH89:AH91" si="118">AE89/AD89*100</f>
        <v>182.816</v>
      </c>
      <c r="AI89" s="60">
        <f>AI107</f>
        <v>159348</v>
      </c>
      <c r="AJ89" s="61">
        <f t="shared" ref="AJ89:AJ91" si="119">AE89/AI89*100</f>
        <v>114.727514622085</v>
      </c>
      <c r="AK89" s="61">
        <f t="shared" ref="AK89:AK91" si="120">AE89/Z89*100</f>
        <v>2.9531510982886795</v>
      </c>
    </row>
    <row r="90" spans="1:40" s="62" customFormat="1">
      <c r="A90" s="63" t="s">
        <v>298</v>
      </c>
      <c r="B90" s="63" t="s">
        <v>296</v>
      </c>
      <c r="C90" s="63" t="s">
        <v>204</v>
      </c>
      <c r="D90" s="63" t="s">
        <v>300</v>
      </c>
      <c r="E90" s="63" t="s">
        <v>82</v>
      </c>
      <c r="F90" s="63">
        <v>90</v>
      </c>
      <c r="G90" s="63" t="s">
        <v>161</v>
      </c>
      <c r="H90" s="63"/>
      <c r="I90" s="63"/>
      <c r="J90" s="63"/>
      <c r="K90" s="63"/>
      <c r="L90" s="63"/>
      <c r="M90" s="63"/>
      <c r="N90" s="63"/>
      <c r="O90" s="63"/>
      <c r="P90" s="63"/>
      <c r="Q90" s="63"/>
      <c r="R90" s="63"/>
      <c r="S90" s="63"/>
      <c r="T90" s="63"/>
      <c r="U90" s="63"/>
      <c r="V90" s="63">
        <v>1</v>
      </c>
      <c r="W90" s="63"/>
      <c r="X90" s="63" t="s">
        <v>207</v>
      </c>
      <c r="Y90" s="63">
        <f>SUM(Y86:Y89)</f>
        <v>5340863</v>
      </c>
      <c r="Z90" s="63">
        <f>SUM(Z86:Z89)</f>
        <v>12711389</v>
      </c>
      <c r="AA90" s="67">
        <f t="shared" si="116"/>
        <v>238.00252880480178</v>
      </c>
      <c r="AB90" s="63">
        <f>SUM(AB86:AB89)</f>
        <v>12656621</v>
      </c>
      <c r="AC90" s="67">
        <f t="shared" si="117"/>
        <v>100.43272213017993</v>
      </c>
      <c r="AD90" s="63">
        <f>SUM(AD86:AD89)</f>
        <v>195585</v>
      </c>
      <c r="AE90" s="63">
        <f>SUM(AE86:AE89)</f>
        <v>372822</v>
      </c>
      <c r="AF90" s="63">
        <f>SUM(AF86:AF89)</f>
        <v>469598</v>
      </c>
      <c r="AG90" s="63">
        <f>SUM(AG86:AG89)</f>
        <v>842420</v>
      </c>
      <c r="AH90" s="67">
        <f t="shared" si="118"/>
        <v>190.61891249328937</v>
      </c>
      <c r="AI90" s="63">
        <f>SUM(AI86:AI89)</f>
        <v>327743</v>
      </c>
      <c r="AJ90" s="67">
        <f t="shared" si="119"/>
        <v>113.75437461669662</v>
      </c>
      <c r="AK90" s="67">
        <f t="shared" si="120"/>
        <v>2.9329760893951087</v>
      </c>
    </row>
    <row r="91" spans="1:40" s="62" customFormat="1">
      <c r="A91" s="60" t="s">
        <v>298</v>
      </c>
      <c r="B91" s="60" t="s">
        <v>296</v>
      </c>
      <c r="C91" s="60" t="s">
        <v>199</v>
      </c>
      <c r="D91" s="60" t="s">
        <v>300</v>
      </c>
      <c r="E91" s="60" t="s">
        <v>82</v>
      </c>
      <c r="F91" s="60">
        <v>90</v>
      </c>
      <c r="G91" s="60" t="s">
        <v>161</v>
      </c>
      <c r="H91" s="60"/>
      <c r="I91" s="60"/>
      <c r="J91" s="60"/>
      <c r="K91" s="60"/>
      <c r="L91" s="60"/>
      <c r="M91" s="60"/>
      <c r="N91" s="60"/>
      <c r="O91" s="60"/>
      <c r="P91" s="60"/>
      <c r="Q91" s="60"/>
      <c r="R91" s="60"/>
      <c r="S91" s="60"/>
      <c r="T91" s="60"/>
      <c r="U91" s="60"/>
      <c r="V91" s="60">
        <v>1</v>
      </c>
      <c r="W91" s="60"/>
      <c r="X91" s="60"/>
      <c r="Y91" s="60">
        <f>Y85+Y90</f>
        <v>35340863</v>
      </c>
      <c r="Z91" s="60">
        <f>Z85+Z90</f>
        <v>56045169</v>
      </c>
      <c r="AA91" s="61">
        <f t="shared" si="116"/>
        <v>158.58460785182297</v>
      </c>
      <c r="AB91" s="60">
        <f>AB85+AB90</f>
        <v>55805265</v>
      </c>
      <c r="AC91" s="61">
        <f t="shared" si="117"/>
        <v>100.42989492120502</v>
      </c>
      <c r="AD91" s="60">
        <f>AD85+AD90</f>
        <v>895585</v>
      </c>
      <c r="AE91" s="60">
        <f>AE85+AE90</f>
        <v>1652534</v>
      </c>
      <c r="AF91" s="60">
        <f>AF85+AF90</f>
        <v>982278</v>
      </c>
      <c r="AG91" s="60">
        <f>AG85+AG90</f>
        <v>2634812</v>
      </c>
      <c r="AH91" s="61">
        <f t="shared" si="118"/>
        <v>184.52006230564379</v>
      </c>
      <c r="AI91" s="60">
        <f>AI85+AI90</f>
        <v>1443179</v>
      </c>
      <c r="AJ91" s="61">
        <f t="shared" si="119"/>
        <v>114.50651651666217</v>
      </c>
      <c r="AK91" s="61">
        <f t="shared" si="120"/>
        <v>2.9485752821978286</v>
      </c>
    </row>
    <row r="92" spans="1:40" s="62" customFormat="1" ht="14.4">
      <c r="A92" s="38"/>
      <c r="B92" s="38"/>
      <c r="C92" s="68"/>
      <c r="D92" s="68"/>
      <c r="E92" s="68"/>
      <c r="F92" s="38"/>
      <c r="G92" s="38"/>
      <c r="H92" s="38"/>
      <c r="I92" s="39" t="s">
        <v>93</v>
      </c>
      <c r="J92" s="39"/>
      <c r="K92" s="40"/>
      <c r="L92" s="40"/>
      <c r="M92" s="40"/>
      <c r="N92" s="40"/>
      <c r="O92" s="40"/>
      <c r="P92" s="40"/>
      <c r="Q92" s="40"/>
      <c r="R92" s="40"/>
      <c r="S92" s="40"/>
      <c r="T92" s="40"/>
      <c r="U92" s="40"/>
      <c r="V92" s="40"/>
      <c r="W92" s="41"/>
      <c r="X92" s="40"/>
      <c r="Y92" s="69"/>
      <c r="Z92" s="69"/>
      <c r="AA92" s="70"/>
      <c r="AB92" s="69"/>
      <c r="AC92" s="70"/>
      <c r="AD92" s="69"/>
      <c r="AE92" s="69"/>
      <c r="AF92" s="69"/>
      <c r="AG92" s="69"/>
      <c r="AH92" s="70"/>
      <c r="AJ92" s="71"/>
      <c r="AK92" s="71"/>
    </row>
    <row r="93" spans="1:40" s="62" customFormat="1">
      <c r="A93" s="63" t="s">
        <v>298</v>
      </c>
      <c r="B93" s="63" t="s">
        <v>296</v>
      </c>
      <c r="C93" s="63" t="s">
        <v>214</v>
      </c>
      <c r="D93" s="63" t="s">
        <v>301</v>
      </c>
      <c r="E93" s="63" t="s">
        <v>82</v>
      </c>
      <c r="F93" s="63">
        <v>90</v>
      </c>
      <c r="G93" s="63" t="s">
        <v>161</v>
      </c>
      <c r="H93" s="63"/>
      <c r="I93" s="63"/>
      <c r="J93" s="63"/>
      <c r="K93" s="63"/>
      <c r="L93" s="63" t="s">
        <v>223</v>
      </c>
      <c r="M93" s="63" t="s">
        <v>219</v>
      </c>
      <c r="N93" s="63"/>
      <c r="O93" s="63"/>
      <c r="P93" s="63"/>
      <c r="Q93" s="63"/>
      <c r="R93" s="63"/>
      <c r="S93" s="63"/>
      <c r="T93" s="63" t="s">
        <v>205</v>
      </c>
      <c r="U93" s="63" t="s">
        <v>206</v>
      </c>
      <c r="V93" s="63">
        <v>0</v>
      </c>
      <c r="W93" s="63">
        <v>940000</v>
      </c>
      <c r="X93" s="63" t="s">
        <v>111</v>
      </c>
      <c r="Y93" s="63">
        <f>SUM(Y111,Y114,Y117)</f>
        <v>7500000</v>
      </c>
      <c r="Z93" s="63">
        <f>SUM(Z111,Z114,Z117)</f>
        <v>9285810</v>
      </c>
      <c r="AA93" s="67">
        <f>Z93/Y93*100</f>
        <v>123.8108</v>
      </c>
      <c r="AB93" s="63">
        <f>SUM(AB111,AB114,AB117)</f>
        <v>9246138</v>
      </c>
      <c r="AC93" s="67">
        <f>Z93/AB93*100</f>
        <v>100.42906562718402</v>
      </c>
      <c r="AD93" s="63">
        <f>SUM(AD111,AD114,AD117)</f>
        <v>150000</v>
      </c>
      <c r="AE93" s="63">
        <f>SUM(AE111,AE114,AE117)</f>
        <v>274224</v>
      </c>
      <c r="AF93" s="63">
        <f>SUM(AF111,AF114,AF117)</f>
        <v>109860</v>
      </c>
      <c r="AG93" s="63">
        <f>SUM(AG111,AG114,AG117)</f>
        <v>384084</v>
      </c>
      <c r="AH93" s="67">
        <f>AE93/AD93*100</f>
        <v>182.816</v>
      </c>
      <c r="AI93" s="63">
        <f>SUM(AI111,AI114,AI117)</f>
        <v>239022</v>
      </c>
      <c r="AJ93" s="67">
        <f>AE93/AI93*100</f>
        <v>114.727514622085</v>
      </c>
      <c r="AK93" s="67">
        <f t="shared" ref="AK93" si="121">AE93/Z93*100</f>
        <v>2.9531510982886795</v>
      </c>
    </row>
    <row r="94" spans="1:40" s="62" customFormat="1">
      <c r="A94" s="60" t="s">
        <v>298</v>
      </c>
      <c r="B94" s="60" t="s">
        <v>296</v>
      </c>
      <c r="C94" s="60" t="s">
        <v>213</v>
      </c>
      <c r="D94" s="60" t="s">
        <v>301</v>
      </c>
      <c r="E94" s="60" t="s">
        <v>82</v>
      </c>
      <c r="F94" s="60">
        <v>90</v>
      </c>
      <c r="G94" s="60" t="s">
        <v>161</v>
      </c>
      <c r="H94" s="60"/>
      <c r="I94" s="60"/>
      <c r="J94" s="60"/>
      <c r="K94" s="60"/>
      <c r="L94" s="60" t="s">
        <v>222</v>
      </c>
      <c r="M94" s="60" t="s">
        <v>218</v>
      </c>
      <c r="N94" s="60"/>
      <c r="O94" s="60"/>
      <c r="P94" s="60"/>
      <c r="Q94" s="60"/>
      <c r="R94" s="60"/>
      <c r="S94" s="60"/>
      <c r="T94" s="60"/>
      <c r="U94" s="60"/>
      <c r="V94" s="60">
        <v>1</v>
      </c>
      <c r="W94" s="60"/>
      <c r="X94" s="60" t="s">
        <v>91</v>
      </c>
      <c r="Y94" s="60">
        <f>SUM(Y93:Y93)</f>
        <v>7500000</v>
      </c>
      <c r="Z94" s="60">
        <f>SUM(Z93:Z93)</f>
        <v>9285810</v>
      </c>
      <c r="AA94" s="61">
        <f>Z94/Y94*100</f>
        <v>123.8108</v>
      </c>
      <c r="AB94" s="60">
        <f>SUM(AB93:AB93)</f>
        <v>9246138</v>
      </c>
      <c r="AC94" s="61">
        <f>Z94/AB94*100</f>
        <v>100.42906562718402</v>
      </c>
      <c r="AD94" s="60">
        <f>SUM(AD93:AD93)</f>
        <v>150000</v>
      </c>
      <c r="AE94" s="60">
        <f>SUM(AE93:AE93)</f>
        <v>274224</v>
      </c>
      <c r="AF94" s="60">
        <f>SUM(AF93:AF93)</f>
        <v>109860</v>
      </c>
      <c r="AG94" s="60">
        <f>SUM(AG93:AG93)</f>
        <v>384084</v>
      </c>
      <c r="AH94" s="61">
        <f>AE94/AD94*100</f>
        <v>182.816</v>
      </c>
      <c r="AI94" s="60">
        <f>SUM(AI93:AI93)</f>
        <v>239022</v>
      </c>
      <c r="AJ94" s="61">
        <f>AE94/AI94*100</f>
        <v>114.727514622085</v>
      </c>
      <c r="AK94" s="61">
        <f>AE94/Z94*100</f>
        <v>2.9531510982886795</v>
      </c>
    </row>
    <row r="95" spans="1:40" s="62" customFormat="1">
      <c r="A95" s="63" t="s">
        <v>298</v>
      </c>
      <c r="B95" s="63" t="s">
        <v>296</v>
      </c>
      <c r="C95" s="63" t="s">
        <v>214</v>
      </c>
      <c r="D95" s="63" t="s">
        <v>301</v>
      </c>
      <c r="E95" s="63" t="s">
        <v>82</v>
      </c>
      <c r="F95" s="63">
        <v>90</v>
      </c>
      <c r="G95" s="63" t="s">
        <v>161</v>
      </c>
      <c r="H95" s="63"/>
      <c r="I95" s="63"/>
      <c r="J95" s="63"/>
      <c r="K95" s="63"/>
      <c r="L95" s="63" t="s">
        <v>223</v>
      </c>
      <c r="M95" s="63" t="s">
        <v>219</v>
      </c>
      <c r="N95" s="63"/>
      <c r="O95" s="63"/>
      <c r="P95" s="63"/>
      <c r="Q95" s="63"/>
      <c r="R95" s="63" t="s">
        <v>264</v>
      </c>
      <c r="S95" s="63" t="s">
        <v>212</v>
      </c>
      <c r="T95" s="63"/>
      <c r="U95" s="63"/>
      <c r="V95" s="63">
        <v>0</v>
      </c>
      <c r="W95" s="63">
        <v>941000</v>
      </c>
      <c r="X95" s="63" t="s">
        <v>207</v>
      </c>
      <c r="Y95" s="63">
        <f>SUM(Y120)</f>
        <v>279463</v>
      </c>
      <c r="Z95" s="63">
        <f>SUM(Z120)</f>
        <v>268638</v>
      </c>
      <c r="AA95" s="67">
        <f t="shared" ref="AA95" si="122">Z95/Y95*100</f>
        <v>96.126499751308756</v>
      </c>
      <c r="AB95" s="63">
        <f>SUM(AB120)</f>
        <v>267739</v>
      </c>
      <c r="AC95" s="67">
        <f t="shared" ref="AC95" si="123">Z95/AB95*100</f>
        <v>100.33577476572333</v>
      </c>
      <c r="AD95" s="63">
        <f>SUM(AD120)</f>
        <v>30903</v>
      </c>
      <c r="AE95" s="63">
        <f>SUM(AE120)</f>
        <v>41792</v>
      </c>
      <c r="AF95" s="63">
        <f>SUM(AF120)</f>
        <v>226845</v>
      </c>
      <c r="AG95" s="63">
        <f>SUM(AG120)</f>
        <v>268637</v>
      </c>
      <c r="AH95" s="67">
        <f t="shared" ref="AH95" si="124">AE95/AD95*100</f>
        <v>135.23606122382941</v>
      </c>
      <c r="AI95" s="63">
        <f>SUM(AI120)</f>
        <v>42243</v>
      </c>
      <c r="AJ95" s="67">
        <f t="shared" ref="AJ95" si="125">AE95/AI95*100</f>
        <v>98.932367492839049</v>
      </c>
      <c r="AK95" s="67">
        <f t="shared" ref="AK95:AK98" si="126">AE95/Z95*100</f>
        <v>15.556994915090197</v>
      </c>
    </row>
    <row r="96" spans="1:40" s="62" customFormat="1">
      <c r="A96" s="60" t="s">
        <v>298</v>
      </c>
      <c r="B96" s="60" t="s">
        <v>296</v>
      </c>
      <c r="C96" s="60" t="s">
        <v>213</v>
      </c>
      <c r="D96" s="60" t="s">
        <v>301</v>
      </c>
      <c r="E96" s="60" t="s">
        <v>82</v>
      </c>
      <c r="F96" s="60">
        <v>90</v>
      </c>
      <c r="G96" s="60" t="s">
        <v>161</v>
      </c>
      <c r="H96" s="60"/>
      <c r="I96" s="60"/>
      <c r="J96" s="60"/>
      <c r="K96" s="60"/>
      <c r="L96" s="60" t="s">
        <v>222</v>
      </c>
      <c r="M96" s="60" t="s">
        <v>218</v>
      </c>
      <c r="N96" s="60"/>
      <c r="O96" s="60"/>
      <c r="P96" s="60"/>
      <c r="Q96" s="60"/>
      <c r="R96" s="60"/>
      <c r="S96" s="60"/>
      <c r="T96" s="60"/>
      <c r="U96" s="60"/>
      <c r="V96" s="60">
        <v>1</v>
      </c>
      <c r="W96" s="60"/>
      <c r="X96" s="60" t="s">
        <v>207</v>
      </c>
      <c r="Y96" s="60">
        <f>SUM(Y95:Y95)</f>
        <v>279463</v>
      </c>
      <c r="Z96" s="60">
        <f>SUM(Z95)</f>
        <v>268638</v>
      </c>
      <c r="AA96" s="61">
        <f>Z96/Y96*100</f>
        <v>96.126499751308756</v>
      </c>
      <c r="AB96" s="60">
        <f>SUM(AB95)</f>
        <v>267739</v>
      </c>
      <c r="AC96" s="61">
        <f>Z96/AB96*100</f>
        <v>100.33577476572333</v>
      </c>
      <c r="AD96" s="60">
        <f>SUM(AD95)</f>
        <v>30903</v>
      </c>
      <c r="AE96" s="60">
        <f>SUM(AE95)</f>
        <v>41792</v>
      </c>
      <c r="AF96" s="60">
        <f>SUM(AF95)</f>
        <v>226845</v>
      </c>
      <c r="AG96" s="60">
        <f>SUM(AG95)</f>
        <v>268637</v>
      </c>
      <c r="AH96" s="61">
        <f>AE96/AD96*100</f>
        <v>135.23606122382941</v>
      </c>
      <c r="AI96" s="60">
        <f>SUM(AI95)</f>
        <v>42243</v>
      </c>
      <c r="AJ96" s="61">
        <f>AE96/AI96*100</f>
        <v>98.932367492839049</v>
      </c>
      <c r="AK96" s="61">
        <f t="shared" si="126"/>
        <v>15.556994915090197</v>
      </c>
    </row>
    <row r="97" spans="1:37" s="62" customFormat="1">
      <c r="A97" s="63" t="s">
        <v>298</v>
      </c>
      <c r="B97" s="63" t="s">
        <v>296</v>
      </c>
      <c r="C97" s="63" t="s">
        <v>214</v>
      </c>
      <c r="D97" s="63" t="s">
        <v>301</v>
      </c>
      <c r="E97" s="63" t="s">
        <v>82</v>
      </c>
      <c r="F97" s="63">
        <v>90</v>
      </c>
      <c r="G97" s="63" t="s">
        <v>161</v>
      </c>
      <c r="H97" s="63"/>
      <c r="I97" s="63"/>
      <c r="J97" s="63"/>
      <c r="K97" s="63"/>
      <c r="L97" s="63" t="s">
        <v>223</v>
      </c>
      <c r="M97" s="63" t="s">
        <v>219</v>
      </c>
      <c r="N97" s="63"/>
      <c r="O97" s="63"/>
      <c r="P97" s="63"/>
      <c r="Q97" s="63"/>
      <c r="R97" s="63"/>
      <c r="S97" s="63"/>
      <c r="T97" s="63"/>
      <c r="U97" s="63"/>
      <c r="V97" s="63">
        <v>1</v>
      </c>
      <c r="W97" s="63"/>
      <c r="X97" s="63"/>
      <c r="Y97" s="63">
        <f>Y94+Y96</f>
        <v>7779463</v>
      </c>
      <c r="Z97" s="63">
        <f>Z94+Z96</f>
        <v>9554448</v>
      </c>
      <c r="AA97" s="67">
        <f t="shared" ref="AA97" si="127">Z97/Y97*100</f>
        <v>122.81629207568696</v>
      </c>
      <c r="AB97" s="63">
        <f>AB94+AB96</f>
        <v>9513877</v>
      </c>
      <c r="AC97" s="67">
        <f t="shared" ref="AC97" si="128">Z97/AB97*100</f>
        <v>100.42644024092387</v>
      </c>
      <c r="AD97" s="63">
        <f>AD94+AD96</f>
        <v>180903</v>
      </c>
      <c r="AE97" s="63">
        <f>AE94+AE96</f>
        <v>316016</v>
      </c>
      <c r="AF97" s="63">
        <f>AF94+AF96</f>
        <v>336705</v>
      </c>
      <c r="AG97" s="63">
        <f>AG94+AG96</f>
        <v>652721</v>
      </c>
      <c r="AH97" s="67">
        <f t="shared" ref="AH97" si="129">AE97/AD97*100</f>
        <v>174.68809251366756</v>
      </c>
      <c r="AI97" s="63">
        <f>AI94+AI96</f>
        <v>281265</v>
      </c>
      <c r="AJ97" s="67">
        <f t="shared" ref="AJ97" si="130">AE97/AI97*100</f>
        <v>112.35525216432902</v>
      </c>
      <c r="AK97" s="67">
        <f t="shared" si="126"/>
        <v>3.3075275515655118</v>
      </c>
    </row>
    <row r="98" spans="1:37" s="62" customFormat="1">
      <c r="A98" s="60" t="s">
        <v>298</v>
      </c>
      <c r="B98" s="60" t="s">
        <v>296</v>
      </c>
      <c r="C98" s="60" t="s">
        <v>214</v>
      </c>
      <c r="D98" s="60" t="s">
        <v>301</v>
      </c>
      <c r="E98" s="60" t="s">
        <v>82</v>
      </c>
      <c r="F98" s="60">
        <v>90</v>
      </c>
      <c r="G98" s="60" t="s">
        <v>161</v>
      </c>
      <c r="H98" s="60"/>
      <c r="I98" s="60"/>
      <c r="J98" s="60"/>
      <c r="K98" s="60"/>
      <c r="L98" s="60" t="s">
        <v>217</v>
      </c>
      <c r="M98" s="60" t="s">
        <v>215</v>
      </c>
      <c r="N98" s="60"/>
      <c r="O98" s="60"/>
      <c r="P98" s="60"/>
      <c r="Q98" s="60"/>
      <c r="R98" s="60"/>
      <c r="S98" s="60"/>
      <c r="T98" s="60" t="s">
        <v>205</v>
      </c>
      <c r="U98" s="60" t="s">
        <v>206</v>
      </c>
      <c r="V98" s="60">
        <v>0</v>
      </c>
      <c r="W98" s="60">
        <v>940000</v>
      </c>
      <c r="X98" s="60" t="s">
        <v>111</v>
      </c>
      <c r="Y98" s="60">
        <f>SUM(Y123,Y126,Y129)</f>
        <v>7500000</v>
      </c>
      <c r="Z98" s="60">
        <f>SUM(Z123,Z126,Z129)</f>
        <v>9285810</v>
      </c>
      <c r="AA98" s="61">
        <f>Z98/Y98*100</f>
        <v>123.8108</v>
      </c>
      <c r="AB98" s="60">
        <f>SUM(AB123,AB126,AB129)</f>
        <v>9246138</v>
      </c>
      <c r="AC98" s="61">
        <f>Z98/AB98*100</f>
        <v>100.42906562718402</v>
      </c>
      <c r="AD98" s="60">
        <f>SUM(AD123,AD126,AD129)</f>
        <v>150000</v>
      </c>
      <c r="AE98" s="60">
        <f>SUM(AE123,AE126,AE129)</f>
        <v>274224</v>
      </c>
      <c r="AF98" s="60">
        <f>SUM(AF123,AF126,AF129)</f>
        <v>109860</v>
      </c>
      <c r="AG98" s="60">
        <f>SUM(AG123,AG126,AG129)</f>
        <v>384084</v>
      </c>
      <c r="AH98" s="61">
        <f>AE98/AD98*100</f>
        <v>182.816</v>
      </c>
      <c r="AI98" s="60">
        <f>SUM(AI123,AI126,AI129)</f>
        <v>239022</v>
      </c>
      <c r="AJ98" s="61">
        <f>AE98/AI98*100</f>
        <v>114.727514622085</v>
      </c>
      <c r="AK98" s="61">
        <f t="shared" si="126"/>
        <v>2.9531510982886795</v>
      </c>
    </row>
    <row r="99" spans="1:37" s="62" customFormat="1">
      <c r="A99" s="63" t="s">
        <v>298</v>
      </c>
      <c r="B99" s="63" t="s">
        <v>296</v>
      </c>
      <c r="C99" s="63" t="s">
        <v>214</v>
      </c>
      <c r="D99" s="63" t="s">
        <v>301</v>
      </c>
      <c r="E99" s="63" t="s">
        <v>82</v>
      </c>
      <c r="F99" s="63">
        <v>90</v>
      </c>
      <c r="G99" s="63" t="s">
        <v>161</v>
      </c>
      <c r="H99" s="63"/>
      <c r="I99" s="63"/>
      <c r="J99" s="63"/>
      <c r="K99" s="63"/>
      <c r="L99" s="63" t="s">
        <v>95</v>
      </c>
      <c r="M99" s="63" t="s">
        <v>216</v>
      </c>
      <c r="N99" s="63"/>
      <c r="O99" s="63"/>
      <c r="P99" s="63"/>
      <c r="Q99" s="63"/>
      <c r="R99" s="63"/>
      <c r="S99" s="63"/>
      <c r="T99" s="63"/>
      <c r="U99" s="63"/>
      <c r="V99" s="63">
        <v>1</v>
      </c>
      <c r="W99" s="63"/>
      <c r="X99" s="63" t="s">
        <v>111</v>
      </c>
      <c r="Y99" s="63">
        <f>SUM(Y98:Y98)</f>
        <v>7500000</v>
      </c>
      <c r="Z99" s="63">
        <f>SUM(Z98:Z98)</f>
        <v>9285810</v>
      </c>
      <c r="AA99" s="67">
        <f>Z99/Y99*100</f>
        <v>123.8108</v>
      </c>
      <c r="AB99" s="63">
        <f>SUM(AB98:AB98)</f>
        <v>9246138</v>
      </c>
      <c r="AC99" s="67">
        <f>Z99/AB99*100</f>
        <v>100.42906562718402</v>
      </c>
      <c r="AD99" s="63">
        <f>SUM(AD98:AD98)</f>
        <v>150000</v>
      </c>
      <c r="AE99" s="63">
        <f>SUM(AE98:AE98)</f>
        <v>274224</v>
      </c>
      <c r="AF99" s="63">
        <f>SUM(AF98:AF98)</f>
        <v>109860</v>
      </c>
      <c r="AG99" s="63">
        <f>SUM(AG98:AG98)</f>
        <v>384084</v>
      </c>
      <c r="AH99" s="67">
        <f>AE99/AD99*100</f>
        <v>182.816</v>
      </c>
      <c r="AI99" s="63">
        <f>SUM(AI98:AI98)</f>
        <v>239022</v>
      </c>
      <c r="AJ99" s="67">
        <f>AE99/AI99*100</f>
        <v>114.727514622085</v>
      </c>
      <c r="AK99" s="67">
        <f>AE99/Z99*100</f>
        <v>2.9531510982886795</v>
      </c>
    </row>
    <row r="100" spans="1:37" s="62" customFormat="1">
      <c r="A100" s="60" t="s">
        <v>298</v>
      </c>
      <c r="B100" s="60" t="s">
        <v>296</v>
      </c>
      <c r="C100" s="60" t="s">
        <v>213</v>
      </c>
      <c r="D100" s="60" t="s">
        <v>301</v>
      </c>
      <c r="E100" s="60" t="s">
        <v>82</v>
      </c>
      <c r="F100" s="60">
        <v>90</v>
      </c>
      <c r="G100" s="60" t="s">
        <v>161</v>
      </c>
      <c r="H100" s="60"/>
      <c r="I100" s="60"/>
      <c r="J100" s="60"/>
      <c r="K100" s="60"/>
      <c r="L100" s="60" t="s">
        <v>217</v>
      </c>
      <c r="M100" s="60" t="s">
        <v>215</v>
      </c>
      <c r="N100" s="60"/>
      <c r="O100" s="60"/>
      <c r="P100" s="60"/>
      <c r="Q100" s="60"/>
      <c r="R100" s="59" t="s">
        <v>265</v>
      </c>
      <c r="S100" s="60" t="s">
        <v>210</v>
      </c>
      <c r="T100" s="60"/>
      <c r="U100" s="60"/>
      <c r="V100" s="60">
        <v>0</v>
      </c>
      <c r="W100" s="60">
        <v>941000</v>
      </c>
      <c r="X100" s="60" t="s">
        <v>92</v>
      </c>
      <c r="Y100" s="60">
        <f>SUM(Y132)</f>
        <v>61400</v>
      </c>
      <c r="Z100" s="60">
        <v>61671</v>
      </c>
      <c r="AA100" s="61">
        <f>Z100/Y100*100</f>
        <v>100.4413680781759</v>
      </c>
      <c r="AB100" s="60">
        <v>60698</v>
      </c>
      <c r="AC100" s="61">
        <f>Z100/AB100*100</f>
        <v>101.6030182213582</v>
      </c>
      <c r="AD100" s="60">
        <v>-35318</v>
      </c>
      <c r="AE100" s="60">
        <v>-34602</v>
      </c>
      <c r="AF100" s="60">
        <v>96273</v>
      </c>
      <c r="AG100" s="60">
        <v>61671</v>
      </c>
      <c r="AH100" s="61">
        <f>AE100/AD100*100</f>
        <v>97.97270513619118</v>
      </c>
      <c r="AI100" s="60">
        <v>-33196</v>
      </c>
      <c r="AJ100" s="61">
        <f>AE100/AI100*100</f>
        <v>104.23545005422341</v>
      </c>
      <c r="AK100" s="61">
        <f>AE100/Z100*100</f>
        <v>-56.107408668580049</v>
      </c>
    </row>
    <row r="101" spans="1:37" s="62" customFormat="1">
      <c r="A101" s="63" t="s">
        <v>298</v>
      </c>
      <c r="B101" s="63" t="s">
        <v>296</v>
      </c>
      <c r="C101" s="63" t="s">
        <v>214</v>
      </c>
      <c r="D101" s="63" t="s">
        <v>301</v>
      </c>
      <c r="E101" s="63" t="s">
        <v>82</v>
      </c>
      <c r="F101" s="63">
        <v>90</v>
      </c>
      <c r="G101" s="63" t="s">
        <v>161</v>
      </c>
      <c r="H101" s="63"/>
      <c r="I101" s="63"/>
      <c r="J101" s="63"/>
      <c r="K101" s="63"/>
      <c r="L101" s="63" t="s">
        <v>95</v>
      </c>
      <c r="M101" s="63" t="s">
        <v>216</v>
      </c>
      <c r="N101" s="63"/>
      <c r="O101" s="63"/>
      <c r="P101" s="63"/>
      <c r="Q101" s="63"/>
      <c r="R101" s="63"/>
      <c r="S101" s="63"/>
      <c r="T101" s="63"/>
      <c r="U101" s="63"/>
      <c r="V101" s="63">
        <v>1</v>
      </c>
      <c r="W101" s="63"/>
      <c r="X101" s="63" t="s">
        <v>207</v>
      </c>
      <c r="Y101" s="63">
        <f>SUM(Y100:Y100)</f>
        <v>61400</v>
      </c>
      <c r="Z101" s="63">
        <f>SUM(Z100:Z100)</f>
        <v>61671</v>
      </c>
      <c r="AA101" s="67">
        <f>Z101/Y101*100</f>
        <v>100.4413680781759</v>
      </c>
      <c r="AB101" s="63">
        <f>SUM(AB100:AB100)</f>
        <v>60698</v>
      </c>
      <c r="AC101" s="67">
        <f>Z101/AB101*100</f>
        <v>101.6030182213582</v>
      </c>
      <c r="AD101" s="63">
        <f>SUM(AD100:AD100)</f>
        <v>-35318</v>
      </c>
      <c r="AE101" s="63">
        <f>SUM(AE100:AE100)</f>
        <v>-34602</v>
      </c>
      <c r="AF101" s="63">
        <f>SUM(AF100:AF100)</f>
        <v>96273</v>
      </c>
      <c r="AG101" s="63">
        <f>SUM(AG100:AG100)</f>
        <v>61671</v>
      </c>
      <c r="AH101" s="67">
        <f>AE101/AD101*100</f>
        <v>97.97270513619118</v>
      </c>
      <c r="AI101" s="63">
        <f>SUM(AI100:AI100)</f>
        <v>-33196</v>
      </c>
      <c r="AJ101" s="67">
        <f>AE101/AI101*100</f>
        <v>104.23545005422341</v>
      </c>
      <c r="AK101" s="67">
        <f t="shared" ref="AK101:AK103" si="131">AE101/Z101*100</f>
        <v>-56.107408668580049</v>
      </c>
    </row>
    <row r="102" spans="1:37" s="62" customFormat="1">
      <c r="A102" s="60" t="s">
        <v>298</v>
      </c>
      <c r="B102" s="60" t="s">
        <v>296</v>
      </c>
      <c r="C102" s="60" t="s">
        <v>213</v>
      </c>
      <c r="D102" s="60" t="s">
        <v>301</v>
      </c>
      <c r="E102" s="60" t="s">
        <v>82</v>
      </c>
      <c r="F102" s="60">
        <v>90</v>
      </c>
      <c r="G102" s="60" t="s">
        <v>161</v>
      </c>
      <c r="H102" s="60"/>
      <c r="I102" s="60"/>
      <c r="J102" s="60"/>
      <c r="K102" s="60"/>
      <c r="L102" s="60" t="s">
        <v>217</v>
      </c>
      <c r="M102" s="60" t="s">
        <v>215</v>
      </c>
      <c r="N102" s="60"/>
      <c r="O102" s="60"/>
      <c r="P102" s="60"/>
      <c r="Q102" s="60"/>
      <c r="R102" s="60"/>
      <c r="S102" s="60"/>
      <c r="T102" s="60"/>
      <c r="U102" s="60"/>
      <c r="V102" s="60">
        <v>1</v>
      </c>
      <c r="W102" s="60"/>
      <c r="X102" s="60"/>
      <c r="Y102" s="60">
        <f>Y99+Y101</f>
        <v>7561400</v>
      </c>
      <c r="Z102" s="60">
        <f>Z99+Z101</f>
        <v>9347481</v>
      </c>
      <c r="AA102" s="61">
        <f t="shared" ref="AA102" si="132">Z102/Y102*100</f>
        <v>123.62103578702357</v>
      </c>
      <c r="AB102" s="60">
        <f>AB99+AB101</f>
        <v>9306836</v>
      </c>
      <c r="AC102" s="61">
        <f t="shared" ref="AC102" si="133">Z102/AB102*100</f>
        <v>100.43672199660551</v>
      </c>
      <c r="AD102" s="60">
        <f>AD99+AD101</f>
        <v>114682</v>
      </c>
      <c r="AE102" s="60">
        <f>AE99+AE101</f>
        <v>239622</v>
      </c>
      <c r="AF102" s="60">
        <f>AF99+AF101</f>
        <v>206133</v>
      </c>
      <c r="AG102" s="60">
        <f>AG99+AG101</f>
        <v>445755</v>
      </c>
      <c r="AH102" s="61">
        <f t="shared" ref="AH102" si="134">AE102/AD102*100</f>
        <v>208.94473413438899</v>
      </c>
      <c r="AI102" s="60">
        <f>AI99+AI101</f>
        <v>205826</v>
      </c>
      <c r="AJ102" s="61">
        <f t="shared" ref="AJ102" si="135">AE102/AI102*100</f>
        <v>116.41969430489831</v>
      </c>
      <c r="AK102" s="61">
        <f t="shared" si="131"/>
        <v>2.5634927741495277</v>
      </c>
    </row>
    <row r="103" spans="1:37" s="62" customFormat="1">
      <c r="A103" s="63" t="s">
        <v>298</v>
      </c>
      <c r="B103" s="63" t="s">
        <v>296</v>
      </c>
      <c r="C103" s="63" t="s">
        <v>214</v>
      </c>
      <c r="D103" s="63" t="s">
        <v>301</v>
      </c>
      <c r="E103" s="63" t="s">
        <v>82</v>
      </c>
      <c r="F103" s="63">
        <v>90</v>
      </c>
      <c r="G103" s="63" t="s">
        <v>161</v>
      </c>
      <c r="H103" s="63"/>
      <c r="I103" s="63"/>
      <c r="J103" s="63"/>
      <c r="K103" s="63"/>
      <c r="L103" s="63" t="s">
        <v>225</v>
      </c>
      <c r="M103" s="63" t="s">
        <v>221</v>
      </c>
      <c r="N103" s="63"/>
      <c r="O103" s="63"/>
      <c r="P103" s="63"/>
      <c r="Q103" s="63"/>
      <c r="R103" s="63"/>
      <c r="S103" s="63"/>
      <c r="T103" s="63" t="s">
        <v>205</v>
      </c>
      <c r="U103" s="63" t="s">
        <v>206</v>
      </c>
      <c r="V103" s="63">
        <v>0</v>
      </c>
      <c r="W103" s="63">
        <v>940000</v>
      </c>
      <c r="X103" s="63" t="s">
        <v>111</v>
      </c>
      <c r="Y103" s="63">
        <f>SUM(Y135,Y138,Y141,Y144)</f>
        <v>10000000</v>
      </c>
      <c r="Z103" s="63">
        <f>SUM(Z135,Z138,Z141,Z144)</f>
        <v>12381080</v>
      </c>
      <c r="AA103" s="67">
        <f>Z103/Y103*100</f>
        <v>123.8108</v>
      </c>
      <c r="AB103" s="63">
        <f>SUM(AB135,AB138,AB141,AB144)</f>
        <v>12328184</v>
      </c>
      <c r="AC103" s="67">
        <f>Z103/AB103*100</f>
        <v>100.42906562718402</v>
      </c>
      <c r="AD103" s="63">
        <f>SUM(AD135,AD138,AD141,AD144)</f>
        <v>200000</v>
      </c>
      <c r="AE103" s="63">
        <f>SUM(AE135,AE138,AE141,AE144)</f>
        <v>365632</v>
      </c>
      <c r="AF103" s="63">
        <f>SUM(AF135,AF138,AF141,AF144)</f>
        <v>146480</v>
      </c>
      <c r="AG103" s="63">
        <f>SUM(AG135,AG138,AG141,AG144)</f>
        <v>512112</v>
      </c>
      <c r="AH103" s="67">
        <f>AE103/AD103*100</f>
        <v>182.816</v>
      </c>
      <c r="AI103" s="63">
        <f>SUM(AI135,AI138,AI141,AI144)</f>
        <v>318696</v>
      </c>
      <c r="AJ103" s="67">
        <f>AE103/AI103*100</f>
        <v>114.727514622085</v>
      </c>
      <c r="AK103" s="67">
        <f t="shared" si="131"/>
        <v>2.9531510982886795</v>
      </c>
    </row>
    <row r="104" spans="1:37" s="62" customFormat="1">
      <c r="A104" s="60" t="s">
        <v>298</v>
      </c>
      <c r="B104" s="60" t="s">
        <v>296</v>
      </c>
      <c r="C104" s="60" t="s">
        <v>213</v>
      </c>
      <c r="D104" s="60" t="s">
        <v>301</v>
      </c>
      <c r="E104" s="60" t="s">
        <v>82</v>
      </c>
      <c r="F104" s="60">
        <v>90</v>
      </c>
      <c r="G104" s="60" t="s">
        <v>161</v>
      </c>
      <c r="H104" s="60"/>
      <c r="I104" s="60"/>
      <c r="J104" s="60"/>
      <c r="K104" s="60"/>
      <c r="L104" s="60" t="s">
        <v>224</v>
      </c>
      <c r="M104" s="60" t="s">
        <v>220</v>
      </c>
      <c r="N104" s="60"/>
      <c r="O104" s="60"/>
      <c r="P104" s="60"/>
      <c r="Q104" s="60"/>
      <c r="R104" s="60"/>
      <c r="S104" s="60"/>
      <c r="T104" s="60"/>
      <c r="U104" s="60"/>
      <c r="V104" s="60">
        <v>1</v>
      </c>
      <c r="W104" s="60"/>
      <c r="X104" s="60" t="s">
        <v>91</v>
      </c>
      <c r="Y104" s="60">
        <f>SUM(Y103:Y103)</f>
        <v>10000000</v>
      </c>
      <c r="Z104" s="60">
        <f>SUM(Z103:Z103)</f>
        <v>12381080</v>
      </c>
      <c r="AA104" s="61">
        <f>Z104/Y104*100</f>
        <v>123.8108</v>
      </c>
      <c r="AB104" s="60">
        <f>SUM(AB103:AB103)</f>
        <v>12328184</v>
      </c>
      <c r="AC104" s="61">
        <f>Z104/AB104*100</f>
        <v>100.42906562718402</v>
      </c>
      <c r="AD104" s="60">
        <f>SUM(AD103:AD103)</f>
        <v>200000</v>
      </c>
      <c r="AE104" s="60">
        <f>SUM(AE103:AE103)</f>
        <v>365632</v>
      </c>
      <c r="AF104" s="60">
        <f>SUM(AF103:AF103)</f>
        <v>146480</v>
      </c>
      <c r="AG104" s="60">
        <f>SUM(AG103:AG103)</f>
        <v>512112</v>
      </c>
      <c r="AH104" s="61">
        <f>AE104/AD104*100</f>
        <v>182.816</v>
      </c>
      <c r="AI104" s="60">
        <f>SUM(AI103:AI103)</f>
        <v>318696</v>
      </c>
      <c r="AJ104" s="61">
        <f>AE104/AI104*100</f>
        <v>114.727514622085</v>
      </c>
      <c r="AK104" s="61">
        <f>AE104/Z104*100</f>
        <v>2.9531510982886795</v>
      </c>
    </row>
    <row r="105" spans="1:37" s="62" customFormat="1">
      <c r="A105" s="63" t="s">
        <v>298</v>
      </c>
      <c r="B105" s="63" t="s">
        <v>296</v>
      </c>
      <c r="C105" s="63" t="s">
        <v>214</v>
      </c>
      <c r="D105" s="63" t="s">
        <v>301</v>
      </c>
      <c r="E105" s="63" t="s">
        <v>82</v>
      </c>
      <c r="F105" s="63">
        <v>90</v>
      </c>
      <c r="G105" s="63" t="s">
        <v>161</v>
      </c>
      <c r="H105" s="63"/>
      <c r="I105" s="63"/>
      <c r="J105" s="63"/>
      <c r="K105" s="63"/>
      <c r="L105" s="63" t="s">
        <v>225</v>
      </c>
      <c r="M105" s="63" t="s">
        <v>221</v>
      </c>
      <c r="N105" s="63"/>
      <c r="O105" s="63"/>
      <c r="P105" s="63"/>
      <c r="Q105" s="63"/>
      <c r="R105" s="63"/>
      <c r="S105" s="63"/>
      <c r="T105" s="63"/>
      <c r="U105" s="63"/>
      <c r="V105" s="63">
        <v>1</v>
      </c>
      <c r="W105" s="63"/>
      <c r="X105" s="63"/>
      <c r="Y105" s="63">
        <f>Y104</f>
        <v>10000000</v>
      </c>
      <c r="Z105" s="63">
        <f>Z104</f>
        <v>12381080</v>
      </c>
      <c r="AA105" s="67">
        <f t="shared" ref="AA105" si="136">Z105/Y105*100</f>
        <v>123.8108</v>
      </c>
      <c r="AB105" s="63">
        <f>AB104</f>
        <v>12328184</v>
      </c>
      <c r="AC105" s="67">
        <f t="shared" ref="AC105" si="137">Z105/AB105*100</f>
        <v>100.42906562718402</v>
      </c>
      <c r="AD105" s="63">
        <f>AD104</f>
        <v>200000</v>
      </c>
      <c r="AE105" s="63">
        <f>AE104</f>
        <v>365632</v>
      </c>
      <c r="AF105" s="63">
        <f t="shared" ref="AF105" si="138">AF104</f>
        <v>146480</v>
      </c>
      <c r="AG105" s="63">
        <f t="shared" ref="AG105" si="139">AG104</f>
        <v>512112</v>
      </c>
      <c r="AH105" s="67">
        <f t="shared" ref="AH105" si="140">AE105/AD105*100</f>
        <v>182.816</v>
      </c>
      <c r="AI105" s="63">
        <f>AI104</f>
        <v>318696</v>
      </c>
      <c r="AJ105" s="67">
        <f t="shared" ref="AJ105" si="141">AE105/AI105*100</f>
        <v>114.727514622085</v>
      </c>
      <c r="AK105" s="67">
        <f t="shared" ref="AK105:AK107" si="142">AE105/Z105*100</f>
        <v>2.9531510982886795</v>
      </c>
    </row>
    <row r="106" spans="1:37" s="62" customFormat="1">
      <c r="A106" s="60" t="s">
        <v>298</v>
      </c>
      <c r="B106" s="60" t="s">
        <v>296</v>
      </c>
      <c r="C106" s="60" t="s">
        <v>214</v>
      </c>
      <c r="D106" s="60" t="s">
        <v>301</v>
      </c>
      <c r="E106" s="60" t="s">
        <v>82</v>
      </c>
      <c r="F106" s="60">
        <v>90</v>
      </c>
      <c r="G106" s="60" t="s">
        <v>161</v>
      </c>
      <c r="H106" s="60"/>
      <c r="I106" s="60"/>
      <c r="J106" s="60"/>
      <c r="K106" s="60"/>
      <c r="L106" s="60"/>
      <c r="M106" s="60"/>
      <c r="N106" s="60"/>
      <c r="O106" s="60"/>
      <c r="P106" s="60"/>
      <c r="Q106" s="60"/>
      <c r="R106" s="60" t="s">
        <v>213</v>
      </c>
      <c r="S106" s="60" t="s">
        <v>262</v>
      </c>
      <c r="T106" s="60"/>
      <c r="U106" s="60"/>
      <c r="V106" s="60">
        <v>0</v>
      </c>
      <c r="W106" s="60">
        <v>941000</v>
      </c>
      <c r="X106" s="60" t="s">
        <v>92</v>
      </c>
      <c r="Y106" s="60">
        <f>SUM(Y147)</f>
        <v>2500000</v>
      </c>
      <c r="Z106" s="60">
        <f>SUM(Z147,Z150)</f>
        <v>6190540</v>
      </c>
      <c r="AA106" s="61">
        <f>Z106/Y106*100</f>
        <v>247.6216</v>
      </c>
      <c r="AB106" s="60">
        <f>SUM(AB147,AB150)</f>
        <v>6164092</v>
      </c>
      <c r="AC106" s="61">
        <f>Z106/AB106*100</f>
        <v>100.42906562718402</v>
      </c>
      <c r="AD106" s="60">
        <f t="shared" ref="AD106:AG107" si="143">SUM(AD147,AD150)</f>
        <v>100000</v>
      </c>
      <c r="AE106" s="60">
        <f t="shared" si="143"/>
        <v>182816</v>
      </c>
      <c r="AF106" s="60">
        <f t="shared" si="143"/>
        <v>73240</v>
      </c>
      <c r="AG106" s="60">
        <f t="shared" si="143"/>
        <v>256056</v>
      </c>
      <c r="AH106" s="61">
        <f>AE106/AD106*100</f>
        <v>182.816</v>
      </c>
      <c r="AI106" s="60">
        <f>SUM(AI147,AI150)</f>
        <v>159348</v>
      </c>
      <c r="AJ106" s="61">
        <f>AE106/AI106*100</f>
        <v>114.727514622085</v>
      </c>
      <c r="AK106" s="61">
        <f t="shared" ref="AK106" si="144">AE106/Z106*100</f>
        <v>2.9531510982886795</v>
      </c>
    </row>
    <row r="107" spans="1:37" s="62" customFormat="1">
      <c r="A107" s="64" t="s">
        <v>298</v>
      </c>
      <c r="B107" s="64" t="s">
        <v>296</v>
      </c>
      <c r="C107" s="64" t="s">
        <v>214</v>
      </c>
      <c r="D107" s="64" t="s">
        <v>301</v>
      </c>
      <c r="E107" s="64" t="s">
        <v>82</v>
      </c>
      <c r="F107" s="64">
        <v>90</v>
      </c>
      <c r="G107" s="64" t="s">
        <v>161</v>
      </c>
      <c r="H107" s="64"/>
      <c r="I107" s="64"/>
      <c r="J107" s="64"/>
      <c r="K107" s="64"/>
      <c r="L107" s="64"/>
      <c r="M107" s="64"/>
      <c r="N107" s="64"/>
      <c r="O107" s="64"/>
      <c r="P107" s="64"/>
      <c r="Q107" s="64"/>
      <c r="R107" s="64" t="s">
        <v>197</v>
      </c>
      <c r="S107" s="64" t="s">
        <v>263</v>
      </c>
      <c r="T107" s="64"/>
      <c r="U107" s="64"/>
      <c r="V107" s="64">
        <v>0</v>
      </c>
      <c r="W107" s="64">
        <v>941000</v>
      </c>
      <c r="X107" s="64" t="s">
        <v>92</v>
      </c>
      <c r="Y107" s="64">
        <f>SUM(Y148)</f>
        <v>2500000</v>
      </c>
      <c r="Z107" s="64">
        <f>SUM(Z148,Z151)</f>
        <v>6190540</v>
      </c>
      <c r="AA107" s="65">
        <f>Z107/Y107*100</f>
        <v>247.6216</v>
      </c>
      <c r="AB107" s="64">
        <f>SUM(AB148,AB151)</f>
        <v>6164092</v>
      </c>
      <c r="AC107" s="65">
        <f>Z107/AB107*100</f>
        <v>100.42906562718402</v>
      </c>
      <c r="AD107" s="64">
        <f t="shared" si="143"/>
        <v>100000</v>
      </c>
      <c r="AE107" s="64">
        <f t="shared" si="143"/>
        <v>182816</v>
      </c>
      <c r="AF107" s="64">
        <f t="shared" si="143"/>
        <v>73240</v>
      </c>
      <c r="AG107" s="64">
        <f t="shared" si="143"/>
        <v>256056</v>
      </c>
      <c r="AH107" s="65">
        <f>AE107/AD107*100</f>
        <v>182.816</v>
      </c>
      <c r="AI107" s="64">
        <f>SUM(AI148,AI151)</f>
        <v>159348</v>
      </c>
      <c r="AJ107" s="65">
        <f>AE107/AI107*100</f>
        <v>114.727514622085</v>
      </c>
      <c r="AK107" s="65">
        <f t="shared" si="142"/>
        <v>2.9531510982886795</v>
      </c>
    </row>
    <row r="108" spans="1:37" s="62" customFormat="1">
      <c r="A108" s="59" t="s">
        <v>298</v>
      </c>
      <c r="B108" s="59" t="s">
        <v>296</v>
      </c>
      <c r="C108" s="59" t="s">
        <v>214</v>
      </c>
      <c r="D108" s="59" t="s">
        <v>301</v>
      </c>
      <c r="E108" s="59" t="s">
        <v>82</v>
      </c>
      <c r="F108" s="59">
        <v>90</v>
      </c>
      <c r="G108" s="59" t="s">
        <v>161</v>
      </c>
      <c r="H108" s="59"/>
      <c r="I108" s="59"/>
      <c r="J108" s="59"/>
      <c r="K108" s="59"/>
      <c r="L108" s="59"/>
      <c r="M108" s="59"/>
      <c r="N108" s="59"/>
      <c r="O108" s="59"/>
      <c r="P108" s="59"/>
      <c r="Q108" s="59"/>
      <c r="R108" s="59"/>
      <c r="S108" s="59"/>
      <c r="T108" s="59"/>
      <c r="U108" s="59"/>
      <c r="V108" s="59">
        <v>1</v>
      </c>
      <c r="W108" s="59"/>
      <c r="X108" s="59" t="s">
        <v>92</v>
      </c>
      <c r="Y108" s="59">
        <f>SUM(Y106:Y107)</f>
        <v>5000000</v>
      </c>
      <c r="Z108" s="59">
        <f>SUM(Z106:Z107)</f>
        <v>12381080</v>
      </c>
      <c r="AA108" s="72">
        <f>Z108/Y108*100</f>
        <v>247.6216</v>
      </c>
      <c r="AB108" s="59">
        <f>SUM(AB106:AB107)</f>
        <v>12328184</v>
      </c>
      <c r="AC108" s="72">
        <f>Z108/AB108*100</f>
        <v>100.42906562718402</v>
      </c>
      <c r="AD108" s="59">
        <f>SUM(AD106:AD107)</f>
        <v>200000</v>
      </c>
      <c r="AE108" s="59">
        <f>SUM(AE106:AE107)</f>
        <v>365632</v>
      </c>
      <c r="AF108" s="59">
        <f>SUM(AF106:AF107)</f>
        <v>146480</v>
      </c>
      <c r="AG108" s="59">
        <f>SUM(AG106:AG107)</f>
        <v>512112</v>
      </c>
      <c r="AH108" s="72">
        <f>AE108/AD108*100</f>
        <v>182.816</v>
      </c>
      <c r="AI108" s="59">
        <f>SUM(AI106:AI107)</f>
        <v>318696</v>
      </c>
      <c r="AJ108" s="72">
        <f>AE108/AI108*100</f>
        <v>114.727514622085</v>
      </c>
      <c r="AK108" s="72">
        <f>AE108/Z108*100</f>
        <v>2.9531510982886795</v>
      </c>
    </row>
    <row r="109" spans="1:37" s="62" customFormat="1">
      <c r="A109" s="64" t="s">
        <v>298</v>
      </c>
      <c r="B109" s="64" t="s">
        <v>296</v>
      </c>
      <c r="C109" s="64" t="s">
        <v>213</v>
      </c>
      <c r="D109" s="64" t="s">
        <v>301</v>
      </c>
      <c r="E109" s="64" t="s">
        <v>82</v>
      </c>
      <c r="F109" s="64">
        <v>90</v>
      </c>
      <c r="G109" s="64" t="s">
        <v>161</v>
      </c>
      <c r="H109" s="64"/>
      <c r="I109" s="64"/>
      <c r="J109" s="64"/>
      <c r="K109" s="64"/>
      <c r="L109" s="64"/>
      <c r="M109" s="64"/>
      <c r="N109" s="64"/>
      <c r="O109" s="64"/>
      <c r="P109" s="64"/>
      <c r="Q109" s="64"/>
      <c r="R109" s="64"/>
      <c r="S109" s="64"/>
      <c r="T109" s="64"/>
      <c r="U109" s="64"/>
      <c r="V109" s="64">
        <v>1</v>
      </c>
      <c r="W109" s="64"/>
      <c r="X109" s="64"/>
      <c r="Y109" s="64">
        <f>Y108</f>
        <v>5000000</v>
      </c>
      <c r="Z109" s="64">
        <f>Z108</f>
        <v>12381080</v>
      </c>
      <c r="AA109" s="65">
        <f t="shared" ref="AA109" si="145">Z109/Y109*100</f>
        <v>247.6216</v>
      </c>
      <c r="AB109" s="64">
        <f>AB108</f>
        <v>12328184</v>
      </c>
      <c r="AC109" s="65">
        <f t="shared" ref="AC109" si="146">Z109/AB109*100</f>
        <v>100.42906562718402</v>
      </c>
      <c r="AD109" s="64">
        <f>AD108</f>
        <v>200000</v>
      </c>
      <c r="AE109" s="64">
        <f>AE108</f>
        <v>365632</v>
      </c>
      <c r="AF109" s="64">
        <f t="shared" ref="AF109" si="147">AF108</f>
        <v>146480</v>
      </c>
      <c r="AG109" s="64">
        <f t="shared" ref="AG109" si="148">AG108</f>
        <v>512112</v>
      </c>
      <c r="AH109" s="65">
        <f t="shared" ref="AH109" si="149">AE109/AD109*100</f>
        <v>182.816</v>
      </c>
      <c r="AI109" s="64">
        <f>AI108</f>
        <v>318696</v>
      </c>
      <c r="AJ109" s="65">
        <f t="shared" ref="AJ109" si="150">AE109/AI109*100</f>
        <v>114.727514622085</v>
      </c>
      <c r="AK109" s="65">
        <f t="shared" ref="AK109" si="151">AE109/Z109*100</f>
        <v>2.9531510982886795</v>
      </c>
    </row>
    <row r="110" spans="1:37" ht="14.4">
      <c r="I110" s="46" t="s">
        <v>93</v>
      </c>
      <c r="AA110" s="73"/>
      <c r="AC110" s="73"/>
      <c r="AH110" s="73"/>
      <c r="AJ110" s="73"/>
      <c r="AK110" s="73"/>
    </row>
    <row r="111" spans="1:37" s="62" customFormat="1">
      <c r="A111" s="63" t="s">
        <v>298</v>
      </c>
      <c r="B111" s="63" t="s">
        <v>296</v>
      </c>
      <c r="C111" s="63" t="s">
        <v>198</v>
      </c>
      <c r="D111" s="63" t="s">
        <v>324</v>
      </c>
      <c r="E111" s="63" t="s">
        <v>82</v>
      </c>
      <c r="F111" s="63">
        <v>90</v>
      </c>
      <c r="G111" s="63" t="s">
        <v>161</v>
      </c>
      <c r="H111" s="63"/>
      <c r="I111" s="63"/>
      <c r="J111" s="63"/>
      <c r="K111" s="63"/>
      <c r="L111" s="63" t="s">
        <v>223</v>
      </c>
      <c r="M111" s="63" t="s">
        <v>219</v>
      </c>
      <c r="N111" s="63" t="s">
        <v>223</v>
      </c>
      <c r="O111" s="63" t="s">
        <v>219</v>
      </c>
      <c r="P111" s="63" t="s">
        <v>256</v>
      </c>
      <c r="Q111" s="63" t="s">
        <v>258</v>
      </c>
      <c r="R111" s="63"/>
      <c r="S111" s="63"/>
      <c r="T111" s="63" t="s">
        <v>205</v>
      </c>
      <c r="U111" s="63" t="s">
        <v>206</v>
      </c>
      <c r="V111" s="63">
        <v>0</v>
      </c>
      <c r="W111" s="63">
        <v>940000</v>
      </c>
      <c r="X111" s="63" t="s">
        <v>111</v>
      </c>
      <c r="Y111" s="63">
        <v>2500000</v>
      </c>
      <c r="Z111" s="63">
        <v>3095270</v>
      </c>
      <c r="AA111" s="67">
        <f>Z111/Y111*100</f>
        <v>123.8108</v>
      </c>
      <c r="AB111" s="63">
        <v>3082046</v>
      </c>
      <c r="AC111" s="67">
        <f>Z111/AB111*100</f>
        <v>100.42906562718402</v>
      </c>
      <c r="AD111" s="63">
        <v>50000</v>
      </c>
      <c r="AE111" s="63">
        <v>91408</v>
      </c>
      <c r="AF111" s="63">
        <v>36620</v>
      </c>
      <c r="AG111" s="63">
        <v>128028</v>
      </c>
      <c r="AH111" s="67">
        <f>AE111/AD111*100</f>
        <v>182.816</v>
      </c>
      <c r="AI111" s="63">
        <v>79674</v>
      </c>
      <c r="AJ111" s="67">
        <f>AE111/AI111*100</f>
        <v>114.727514622085</v>
      </c>
      <c r="AK111" s="67">
        <f t="shared" ref="AK111" si="152">AE111/Z111*100</f>
        <v>2.9531510982886795</v>
      </c>
    </row>
    <row r="112" spans="1:37" s="62" customFormat="1">
      <c r="A112" s="60" t="s">
        <v>298</v>
      </c>
      <c r="B112" s="60" t="s">
        <v>296</v>
      </c>
      <c r="C112" s="60" t="s">
        <v>197</v>
      </c>
      <c r="D112" s="60" t="s">
        <v>324</v>
      </c>
      <c r="E112" s="60" t="s">
        <v>82</v>
      </c>
      <c r="F112" s="60">
        <v>90</v>
      </c>
      <c r="G112" s="60" t="s">
        <v>161</v>
      </c>
      <c r="H112" s="60"/>
      <c r="I112" s="60"/>
      <c r="J112" s="60"/>
      <c r="K112" s="60"/>
      <c r="L112" s="60" t="s">
        <v>222</v>
      </c>
      <c r="M112" s="60" t="s">
        <v>218</v>
      </c>
      <c r="N112" s="60" t="s">
        <v>222</v>
      </c>
      <c r="O112" s="60" t="s">
        <v>218</v>
      </c>
      <c r="P112" s="60" t="s">
        <v>256</v>
      </c>
      <c r="Q112" s="60" t="s">
        <v>258</v>
      </c>
      <c r="R112" s="60"/>
      <c r="S112" s="60"/>
      <c r="T112" s="60"/>
      <c r="U112" s="60"/>
      <c r="V112" s="60">
        <v>1</v>
      </c>
      <c r="W112" s="60"/>
      <c r="X112" s="60" t="s">
        <v>91</v>
      </c>
      <c r="Y112" s="60">
        <f>SUM(Y111:Y111)</f>
        <v>2500000</v>
      </c>
      <c r="Z112" s="60">
        <f>SUM(Z111:Z111)</f>
        <v>3095270</v>
      </c>
      <c r="AA112" s="61">
        <f>Z112/Y112*100</f>
        <v>123.8108</v>
      </c>
      <c r="AB112" s="60">
        <f>SUM(AB111:AB111)</f>
        <v>3082046</v>
      </c>
      <c r="AC112" s="61">
        <f>Z112/AB112*100</f>
        <v>100.42906562718402</v>
      </c>
      <c r="AD112" s="60">
        <f>SUM(AD111:AD111)</f>
        <v>50000</v>
      </c>
      <c r="AE112" s="60">
        <f>SUM(AE111:AE111)</f>
        <v>91408</v>
      </c>
      <c r="AF112" s="60">
        <f>SUM(AF111:AF111)</f>
        <v>36620</v>
      </c>
      <c r="AG112" s="60">
        <f>SUM(AG111:AG111)</f>
        <v>128028</v>
      </c>
      <c r="AH112" s="61">
        <f>AE112/AD112*100</f>
        <v>182.816</v>
      </c>
      <c r="AI112" s="60">
        <f>SUM(AI111:AI111)</f>
        <v>79674</v>
      </c>
      <c r="AJ112" s="61">
        <f>AE112/AI112*100</f>
        <v>114.727514622085</v>
      </c>
      <c r="AK112" s="61">
        <f>AE112/Z112*100</f>
        <v>2.9531510982886795</v>
      </c>
    </row>
    <row r="113" spans="1:37" s="62" customFormat="1">
      <c r="A113" s="63" t="s">
        <v>298</v>
      </c>
      <c r="B113" s="63" t="s">
        <v>296</v>
      </c>
      <c r="C113" s="63" t="s">
        <v>197</v>
      </c>
      <c r="D113" s="63" t="s">
        <v>324</v>
      </c>
      <c r="E113" s="63" t="s">
        <v>82</v>
      </c>
      <c r="F113" s="63">
        <v>90</v>
      </c>
      <c r="G113" s="63" t="s">
        <v>161</v>
      </c>
      <c r="H113" s="63"/>
      <c r="I113" s="63"/>
      <c r="J113" s="63"/>
      <c r="K113" s="63"/>
      <c r="L113" s="63" t="s">
        <v>223</v>
      </c>
      <c r="M113" s="63" t="s">
        <v>219</v>
      </c>
      <c r="N113" s="63" t="s">
        <v>223</v>
      </c>
      <c r="O113" s="63" t="s">
        <v>219</v>
      </c>
      <c r="P113" s="63" t="s">
        <v>256</v>
      </c>
      <c r="Q113" s="63" t="s">
        <v>258</v>
      </c>
      <c r="R113" s="63"/>
      <c r="S113" s="63"/>
      <c r="T113" s="63"/>
      <c r="U113" s="63"/>
      <c r="V113" s="63">
        <v>1</v>
      </c>
      <c r="W113" s="63"/>
      <c r="X113" s="63"/>
      <c r="Y113" s="63">
        <f>Y112</f>
        <v>2500000</v>
      </c>
      <c r="Z113" s="63">
        <f>Z112</f>
        <v>3095270</v>
      </c>
      <c r="AA113" s="67">
        <f>Z113/Y113*100</f>
        <v>123.8108</v>
      </c>
      <c r="AB113" s="63">
        <f>AB112</f>
        <v>3082046</v>
      </c>
      <c r="AC113" s="67">
        <f>Z113/AB113*100</f>
        <v>100.42906562718402</v>
      </c>
      <c r="AD113" s="63">
        <f>AD112</f>
        <v>50000</v>
      </c>
      <c r="AE113" s="63">
        <f>AE112</f>
        <v>91408</v>
      </c>
      <c r="AF113" s="63">
        <f>AF112</f>
        <v>36620</v>
      </c>
      <c r="AG113" s="63">
        <f>AG112</f>
        <v>128028</v>
      </c>
      <c r="AH113" s="67">
        <f>AE113/AD113*100</f>
        <v>182.816</v>
      </c>
      <c r="AI113" s="63">
        <f>AI112</f>
        <v>79674</v>
      </c>
      <c r="AJ113" s="67">
        <f>AE113/AI113*100</f>
        <v>114.727514622085</v>
      </c>
      <c r="AK113" s="67">
        <f>AE113/Z113*100</f>
        <v>2.9531510982886795</v>
      </c>
    </row>
    <row r="114" spans="1:37" s="62" customFormat="1">
      <c r="A114" s="60" t="s">
        <v>298</v>
      </c>
      <c r="B114" s="60" t="s">
        <v>296</v>
      </c>
      <c r="C114" s="60" t="s">
        <v>197</v>
      </c>
      <c r="D114" s="60" t="s">
        <v>324</v>
      </c>
      <c r="E114" s="60" t="s">
        <v>82</v>
      </c>
      <c r="F114" s="60">
        <v>90</v>
      </c>
      <c r="G114" s="60" t="s">
        <v>161</v>
      </c>
      <c r="H114" s="60"/>
      <c r="I114" s="60"/>
      <c r="J114" s="60"/>
      <c r="K114" s="60"/>
      <c r="L114" s="60" t="s">
        <v>223</v>
      </c>
      <c r="M114" s="60" t="s">
        <v>219</v>
      </c>
      <c r="N114" s="60" t="s">
        <v>235</v>
      </c>
      <c r="O114" s="60" t="s">
        <v>227</v>
      </c>
      <c r="P114" s="60" t="s">
        <v>256</v>
      </c>
      <c r="Q114" s="60" t="s">
        <v>258</v>
      </c>
      <c r="R114" s="60"/>
      <c r="S114" s="60"/>
      <c r="T114" s="60" t="s">
        <v>205</v>
      </c>
      <c r="U114" s="60" t="s">
        <v>206</v>
      </c>
      <c r="V114" s="60">
        <v>0</v>
      </c>
      <c r="W114" s="60">
        <v>940000</v>
      </c>
      <c r="X114" s="60" t="s">
        <v>111</v>
      </c>
      <c r="Y114" s="60">
        <v>2500000</v>
      </c>
      <c r="Z114" s="60">
        <v>3095270</v>
      </c>
      <c r="AA114" s="61">
        <f>Z114/Y114*100</f>
        <v>123.8108</v>
      </c>
      <c r="AB114" s="60">
        <v>3082046</v>
      </c>
      <c r="AC114" s="61">
        <f>Z114/AB114*100</f>
        <v>100.42906562718402</v>
      </c>
      <c r="AD114" s="60">
        <v>50000</v>
      </c>
      <c r="AE114" s="60">
        <v>91408</v>
      </c>
      <c r="AF114" s="60">
        <v>36620</v>
      </c>
      <c r="AG114" s="60">
        <v>128028</v>
      </c>
      <c r="AH114" s="61">
        <f>AE114/AD114*100</f>
        <v>182.816</v>
      </c>
      <c r="AI114" s="60">
        <v>79674</v>
      </c>
      <c r="AJ114" s="61">
        <f>AE114/AI114*100</f>
        <v>114.727514622085</v>
      </c>
      <c r="AK114" s="61">
        <f>AE114/Z114*100</f>
        <v>2.9531510982886795</v>
      </c>
    </row>
    <row r="115" spans="1:37" s="62" customFormat="1">
      <c r="A115" s="63" t="s">
        <v>298</v>
      </c>
      <c r="B115" s="63" t="s">
        <v>296</v>
      </c>
      <c r="C115" s="63" t="s">
        <v>197</v>
      </c>
      <c r="D115" s="63" t="s">
        <v>324</v>
      </c>
      <c r="E115" s="63" t="s">
        <v>82</v>
      </c>
      <c r="F115" s="63">
        <v>90</v>
      </c>
      <c r="G115" s="63" t="s">
        <v>161</v>
      </c>
      <c r="H115" s="63"/>
      <c r="I115" s="63"/>
      <c r="J115" s="63"/>
      <c r="K115" s="63"/>
      <c r="L115" s="63" t="s">
        <v>223</v>
      </c>
      <c r="M115" s="63" t="s">
        <v>219</v>
      </c>
      <c r="N115" s="63" t="s">
        <v>235</v>
      </c>
      <c r="O115" s="63" t="s">
        <v>227</v>
      </c>
      <c r="P115" s="63" t="s">
        <v>256</v>
      </c>
      <c r="Q115" s="63" t="s">
        <v>258</v>
      </c>
      <c r="R115" s="63"/>
      <c r="S115" s="63"/>
      <c r="T115" s="63"/>
      <c r="U115" s="63"/>
      <c r="V115" s="63">
        <v>1</v>
      </c>
      <c r="W115" s="63"/>
      <c r="X115" s="63" t="s">
        <v>111</v>
      </c>
      <c r="Y115" s="63">
        <f>SUM(Y114:Y114)</f>
        <v>2500000</v>
      </c>
      <c r="Z115" s="63">
        <f>SUM(Z114:Z114)</f>
        <v>3095270</v>
      </c>
      <c r="AA115" s="67">
        <f>Z115/Y115*100</f>
        <v>123.8108</v>
      </c>
      <c r="AB115" s="63">
        <f>SUM(AB114:AB114)</f>
        <v>3082046</v>
      </c>
      <c r="AC115" s="67">
        <f>Z115/AB115*100</f>
        <v>100.42906562718402</v>
      </c>
      <c r="AD115" s="63">
        <f>SUM(AD114:AD114)</f>
        <v>50000</v>
      </c>
      <c r="AE115" s="63">
        <f>SUM(AE114:AE114)</f>
        <v>91408</v>
      </c>
      <c r="AF115" s="63">
        <f>SUM(AF114:AF114)</f>
        <v>36620</v>
      </c>
      <c r="AG115" s="63">
        <f>SUM(AG114:AG114)</f>
        <v>128028</v>
      </c>
      <c r="AH115" s="67">
        <f>AE115/AD115*100</f>
        <v>182.816</v>
      </c>
      <c r="AI115" s="63">
        <f>SUM(AI114:AI114)</f>
        <v>79674</v>
      </c>
      <c r="AJ115" s="67">
        <f>AE115/AI115*100</f>
        <v>114.727514622085</v>
      </c>
      <c r="AK115" s="67">
        <f>AE115/Z115*100</f>
        <v>2.9531510982886795</v>
      </c>
    </row>
    <row r="116" spans="1:37" s="62" customFormat="1">
      <c r="A116" s="60" t="s">
        <v>298</v>
      </c>
      <c r="B116" s="60" t="s">
        <v>296</v>
      </c>
      <c r="C116" s="60" t="s">
        <v>197</v>
      </c>
      <c r="D116" s="60" t="s">
        <v>324</v>
      </c>
      <c r="E116" s="60" t="s">
        <v>82</v>
      </c>
      <c r="F116" s="60">
        <v>90</v>
      </c>
      <c r="G116" s="60" t="s">
        <v>161</v>
      </c>
      <c r="H116" s="60"/>
      <c r="I116" s="60"/>
      <c r="J116" s="60"/>
      <c r="K116" s="60"/>
      <c r="L116" s="60" t="s">
        <v>222</v>
      </c>
      <c r="M116" s="60" t="s">
        <v>218</v>
      </c>
      <c r="N116" s="60" t="s">
        <v>234</v>
      </c>
      <c r="O116" s="60" t="s">
        <v>226</v>
      </c>
      <c r="P116" s="60" t="s">
        <v>256</v>
      </c>
      <c r="Q116" s="60" t="s">
        <v>258</v>
      </c>
      <c r="R116" s="60"/>
      <c r="S116" s="60"/>
      <c r="T116" s="60"/>
      <c r="U116" s="60"/>
      <c r="V116" s="60">
        <v>1</v>
      </c>
      <c r="W116" s="60"/>
      <c r="X116" s="60"/>
      <c r="Y116" s="60">
        <f>Y115</f>
        <v>2500000</v>
      </c>
      <c r="Z116" s="60">
        <f>Z115</f>
        <v>3095270</v>
      </c>
      <c r="AA116" s="61">
        <f t="shared" ref="AA116" si="153">Z116/Y116*100</f>
        <v>123.8108</v>
      </c>
      <c r="AB116" s="60">
        <f>AB115</f>
        <v>3082046</v>
      </c>
      <c r="AC116" s="61">
        <f t="shared" ref="AC116" si="154">Z116/AB116*100</f>
        <v>100.42906562718402</v>
      </c>
      <c r="AD116" s="60">
        <f>AD115</f>
        <v>50000</v>
      </c>
      <c r="AE116" s="60">
        <f>AE115</f>
        <v>91408</v>
      </c>
      <c r="AF116" s="60">
        <f>AF115</f>
        <v>36620</v>
      </c>
      <c r="AG116" s="60">
        <f>AG115</f>
        <v>128028</v>
      </c>
      <c r="AH116" s="61">
        <f t="shared" ref="AH116" si="155">AE116/AD116*100</f>
        <v>182.816</v>
      </c>
      <c r="AI116" s="60">
        <f>AI115</f>
        <v>79674</v>
      </c>
      <c r="AJ116" s="61">
        <f t="shared" ref="AJ116" si="156">AE116/AI116*100</f>
        <v>114.727514622085</v>
      </c>
      <c r="AK116" s="61">
        <f t="shared" ref="AK116" si="157">AE116/Z116*100</f>
        <v>2.9531510982886795</v>
      </c>
    </row>
    <row r="117" spans="1:37" s="62" customFormat="1">
      <c r="A117" s="63" t="s">
        <v>298</v>
      </c>
      <c r="B117" s="63" t="s">
        <v>296</v>
      </c>
      <c r="C117" s="63" t="s">
        <v>197</v>
      </c>
      <c r="D117" s="63" t="s">
        <v>324</v>
      </c>
      <c r="E117" s="63" t="s">
        <v>82</v>
      </c>
      <c r="F117" s="63">
        <v>90</v>
      </c>
      <c r="G117" s="63" t="s">
        <v>161</v>
      </c>
      <c r="H117" s="63"/>
      <c r="I117" s="63"/>
      <c r="J117" s="63"/>
      <c r="K117" s="63"/>
      <c r="L117" s="63" t="s">
        <v>223</v>
      </c>
      <c r="M117" s="63" t="s">
        <v>219</v>
      </c>
      <c r="N117" s="63" t="s">
        <v>237</v>
      </c>
      <c r="O117" s="63" t="s">
        <v>229</v>
      </c>
      <c r="P117" s="63" t="s">
        <v>256</v>
      </c>
      <c r="Q117" s="63" t="s">
        <v>258</v>
      </c>
      <c r="R117" s="63"/>
      <c r="S117" s="63"/>
      <c r="T117" s="63" t="s">
        <v>205</v>
      </c>
      <c r="U117" s="63" t="s">
        <v>206</v>
      </c>
      <c r="V117" s="63">
        <v>0</v>
      </c>
      <c r="W117" s="63">
        <v>940000</v>
      </c>
      <c r="X117" s="63" t="s">
        <v>111</v>
      </c>
      <c r="Y117" s="63">
        <v>2500000</v>
      </c>
      <c r="Z117" s="63">
        <v>3095270</v>
      </c>
      <c r="AA117" s="67">
        <f>Z117/Y117*100</f>
        <v>123.8108</v>
      </c>
      <c r="AB117" s="63">
        <v>3082046</v>
      </c>
      <c r="AC117" s="67">
        <f>Z117/AB117*100</f>
        <v>100.42906562718402</v>
      </c>
      <c r="AD117" s="63">
        <v>50000</v>
      </c>
      <c r="AE117" s="63">
        <v>91408</v>
      </c>
      <c r="AF117" s="63">
        <v>36620</v>
      </c>
      <c r="AG117" s="63">
        <v>128028</v>
      </c>
      <c r="AH117" s="67">
        <f>AE117/AD117*100</f>
        <v>182.816</v>
      </c>
      <c r="AI117" s="63">
        <v>79674</v>
      </c>
      <c r="AJ117" s="67">
        <f>AE117/AI117*100</f>
        <v>114.727514622085</v>
      </c>
      <c r="AK117" s="67">
        <f t="shared" ref="AK117:AK122" si="158">AE117/Z117*100</f>
        <v>2.9531510982886795</v>
      </c>
    </row>
    <row r="118" spans="1:37" s="62" customFormat="1">
      <c r="A118" s="60" t="s">
        <v>298</v>
      </c>
      <c r="B118" s="60" t="s">
        <v>296</v>
      </c>
      <c r="C118" s="60" t="s">
        <v>197</v>
      </c>
      <c r="D118" s="60" t="s">
        <v>324</v>
      </c>
      <c r="E118" s="60" t="s">
        <v>82</v>
      </c>
      <c r="F118" s="60">
        <v>90</v>
      </c>
      <c r="G118" s="60" t="s">
        <v>161</v>
      </c>
      <c r="H118" s="60"/>
      <c r="I118" s="60"/>
      <c r="J118" s="60"/>
      <c r="K118" s="60"/>
      <c r="L118" s="60" t="s">
        <v>222</v>
      </c>
      <c r="M118" s="60" t="s">
        <v>218</v>
      </c>
      <c r="N118" s="60" t="s">
        <v>236</v>
      </c>
      <c r="O118" s="60" t="s">
        <v>228</v>
      </c>
      <c r="P118" s="60" t="s">
        <v>256</v>
      </c>
      <c r="Q118" s="60" t="s">
        <v>258</v>
      </c>
      <c r="R118" s="60"/>
      <c r="S118" s="60"/>
      <c r="T118" s="60"/>
      <c r="U118" s="60"/>
      <c r="V118" s="60">
        <v>1</v>
      </c>
      <c r="W118" s="60"/>
      <c r="X118" s="60" t="s">
        <v>91</v>
      </c>
      <c r="Y118" s="60">
        <f>SUM(Y117:Y117)</f>
        <v>2500000</v>
      </c>
      <c r="Z118" s="60">
        <f>SUM(Z117:Z117)</f>
        <v>3095270</v>
      </c>
      <c r="AA118" s="61">
        <f>Z118/Y118*100</f>
        <v>123.8108</v>
      </c>
      <c r="AB118" s="60">
        <f>SUM(AB117:AB117)</f>
        <v>3082046</v>
      </c>
      <c r="AC118" s="61">
        <f>Z118/AB118*100</f>
        <v>100.42906562718402</v>
      </c>
      <c r="AD118" s="60">
        <f>SUM(AD117:AD117)</f>
        <v>50000</v>
      </c>
      <c r="AE118" s="60">
        <f>SUM(AE117:AE117)</f>
        <v>91408</v>
      </c>
      <c r="AF118" s="60">
        <f>SUM(AF117:AF117)</f>
        <v>36620</v>
      </c>
      <c r="AG118" s="60">
        <f>SUM(AG117:AG117)</f>
        <v>128028</v>
      </c>
      <c r="AH118" s="61">
        <f>AE118/AD118*100</f>
        <v>182.816</v>
      </c>
      <c r="AI118" s="60">
        <f>SUM(AI117:AI117)</f>
        <v>79674</v>
      </c>
      <c r="AJ118" s="61">
        <f>AE118/AI118*100</f>
        <v>114.727514622085</v>
      </c>
      <c r="AK118" s="61">
        <f t="shared" si="158"/>
        <v>2.9531510982886795</v>
      </c>
    </row>
    <row r="119" spans="1:37" s="62" customFormat="1">
      <c r="A119" s="63" t="s">
        <v>298</v>
      </c>
      <c r="B119" s="63" t="s">
        <v>296</v>
      </c>
      <c r="C119" s="63" t="s">
        <v>197</v>
      </c>
      <c r="D119" s="63" t="s">
        <v>324</v>
      </c>
      <c r="E119" s="63" t="s">
        <v>82</v>
      </c>
      <c r="F119" s="63">
        <v>90</v>
      </c>
      <c r="G119" s="63" t="s">
        <v>161</v>
      </c>
      <c r="H119" s="63"/>
      <c r="I119" s="63"/>
      <c r="J119" s="63"/>
      <c r="K119" s="63"/>
      <c r="L119" s="63" t="s">
        <v>223</v>
      </c>
      <c r="M119" s="63" t="s">
        <v>219</v>
      </c>
      <c r="N119" s="63" t="s">
        <v>237</v>
      </c>
      <c r="O119" s="63" t="s">
        <v>229</v>
      </c>
      <c r="P119" s="63" t="s">
        <v>256</v>
      </c>
      <c r="Q119" s="63" t="s">
        <v>258</v>
      </c>
      <c r="R119" s="63"/>
      <c r="S119" s="63"/>
      <c r="T119" s="63"/>
      <c r="U119" s="63"/>
      <c r="V119" s="63">
        <v>1</v>
      </c>
      <c r="W119" s="63"/>
      <c r="X119" s="63"/>
      <c r="Y119" s="63">
        <f>Y118</f>
        <v>2500000</v>
      </c>
      <c r="Z119" s="63">
        <f>Z118</f>
        <v>3095270</v>
      </c>
      <c r="AA119" s="67">
        <f t="shared" ref="AA119" si="159">Z119/Y119*100</f>
        <v>123.8108</v>
      </c>
      <c r="AB119" s="63">
        <f>AB118</f>
        <v>3082046</v>
      </c>
      <c r="AC119" s="67">
        <f t="shared" ref="AC119" si="160">Z119/AB119*100</f>
        <v>100.42906562718402</v>
      </c>
      <c r="AD119" s="63">
        <f>AD118</f>
        <v>50000</v>
      </c>
      <c r="AE119" s="63">
        <f>AE118</f>
        <v>91408</v>
      </c>
      <c r="AF119" s="63">
        <f>AF118</f>
        <v>36620</v>
      </c>
      <c r="AG119" s="63">
        <f>AG118</f>
        <v>128028</v>
      </c>
      <c r="AH119" s="67">
        <f t="shared" ref="AH119" si="161">AE119/AD119*100</f>
        <v>182.816</v>
      </c>
      <c r="AI119" s="63">
        <f>AI118</f>
        <v>79674</v>
      </c>
      <c r="AJ119" s="67">
        <f t="shared" ref="AJ119" si="162">AE119/AI119*100</f>
        <v>114.727514622085</v>
      </c>
      <c r="AK119" s="67">
        <f t="shared" si="158"/>
        <v>2.9531510982886795</v>
      </c>
    </row>
    <row r="120" spans="1:37" s="62" customFormat="1">
      <c r="A120" s="60" t="s">
        <v>298</v>
      </c>
      <c r="B120" s="60" t="s">
        <v>296</v>
      </c>
      <c r="C120" s="60" t="s">
        <v>197</v>
      </c>
      <c r="D120" s="60" t="s">
        <v>324</v>
      </c>
      <c r="E120" s="60" t="s">
        <v>82</v>
      </c>
      <c r="F120" s="60">
        <v>90</v>
      </c>
      <c r="G120" s="60" t="s">
        <v>161</v>
      </c>
      <c r="H120" s="60"/>
      <c r="I120" s="60"/>
      <c r="J120" s="60"/>
      <c r="K120" s="60"/>
      <c r="L120" s="60" t="s">
        <v>223</v>
      </c>
      <c r="M120" s="60" t="s">
        <v>219</v>
      </c>
      <c r="N120" s="60" t="s">
        <v>264</v>
      </c>
      <c r="O120" s="60" t="s">
        <v>212</v>
      </c>
      <c r="P120" s="60" t="s">
        <v>256</v>
      </c>
      <c r="Q120" s="60" t="s">
        <v>258</v>
      </c>
      <c r="R120" s="60" t="s">
        <v>264</v>
      </c>
      <c r="S120" s="60" t="s">
        <v>212</v>
      </c>
      <c r="T120" s="60"/>
      <c r="U120" s="60"/>
      <c r="V120" s="60">
        <v>0</v>
      </c>
      <c r="W120" s="60">
        <v>941000</v>
      </c>
      <c r="X120" s="60" t="s">
        <v>207</v>
      </c>
      <c r="Y120" s="60">
        <v>279463</v>
      </c>
      <c r="Z120" s="60">
        <v>268638</v>
      </c>
      <c r="AA120" s="61">
        <f t="shared" ref="AA120" si="163">Z120/Y120*100</f>
        <v>96.126499751308756</v>
      </c>
      <c r="AB120" s="60">
        <v>267739</v>
      </c>
      <c r="AC120" s="61">
        <f t="shared" ref="AC120" si="164">Z120/AB120*100</f>
        <v>100.33577476572333</v>
      </c>
      <c r="AD120" s="60">
        <v>30903</v>
      </c>
      <c r="AE120" s="60">
        <v>41792</v>
      </c>
      <c r="AF120" s="60">
        <v>226845</v>
      </c>
      <c r="AG120" s="60">
        <v>268637</v>
      </c>
      <c r="AH120" s="61">
        <f t="shared" ref="AH120" si="165">AE120/AD120*100</f>
        <v>135.23606122382941</v>
      </c>
      <c r="AI120" s="60">
        <v>42243</v>
      </c>
      <c r="AJ120" s="61">
        <f t="shared" ref="AJ120" si="166">AE120/AI120*100</f>
        <v>98.932367492839049</v>
      </c>
      <c r="AK120" s="61">
        <f t="shared" si="158"/>
        <v>15.556994915090197</v>
      </c>
    </row>
    <row r="121" spans="1:37" s="62" customFormat="1">
      <c r="A121" s="63" t="s">
        <v>298</v>
      </c>
      <c r="B121" s="63" t="s">
        <v>296</v>
      </c>
      <c r="C121" s="63" t="s">
        <v>197</v>
      </c>
      <c r="D121" s="63" t="s">
        <v>324</v>
      </c>
      <c r="E121" s="63" t="s">
        <v>82</v>
      </c>
      <c r="F121" s="63">
        <v>90</v>
      </c>
      <c r="G121" s="63" t="s">
        <v>161</v>
      </c>
      <c r="H121" s="63"/>
      <c r="I121" s="63"/>
      <c r="J121" s="63"/>
      <c r="K121" s="63"/>
      <c r="L121" s="63" t="s">
        <v>223</v>
      </c>
      <c r="M121" s="63" t="s">
        <v>219</v>
      </c>
      <c r="N121" s="63" t="s">
        <v>325</v>
      </c>
      <c r="O121" s="63" t="s">
        <v>255</v>
      </c>
      <c r="P121" s="63" t="s">
        <v>256</v>
      </c>
      <c r="Q121" s="63" t="s">
        <v>258</v>
      </c>
      <c r="R121" s="63"/>
      <c r="S121" s="63"/>
      <c r="T121" s="63"/>
      <c r="U121" s="63"/>
      <c r="V121" s="63">
        <v>1</v>
      </c>
      <c r="W121" s="63"/>
      <c r="X121" s="63" t="s">
        <v>207</v>
      </c>
      <c r="Y121" s="63">
        <f>SUM(Y120:Y120)</f>
        <v>279463</v>
      </c>
      <c r="Z121" s="63">
        <f>SUM(Z120)</f>
        <v>268638</v>
      </c>
      <c r="AA121" s="67">
        <f>Z121/Y121*100</f>
        <v>96.126499751308756</v>
      </c>
      <c r="AB121" s="63">
        <f>SUM(AB120)</f>
        <v>267739</v>
      </c>
      <c r="AC121" s="67">
        <f>Z121/AB121*100</f>
        <v>100.33577476572333</v>
      </c>
      <c r="AD121" s="63">
        <f>SUM(AD120)</f>
        <v>30903</v>
      </c>
      <c r="AE121" s="63">
        <f>SUM(AE120)</f>
        <v>41792</v>
      </c>
      <c r="AF121" s="63">
        <f>SUM(AF120)</f>
        <v>226845</v>
      </c>
      <c r="AG121" s="63">
        <f>SUM(AG120)</f>
        <v>268637</v>
      </c>
      <c r="AH121" s="67">
        <f>AE121/AD121*100</f>
        <v>135.23606122382941</v>
      </c>
      <c r="AI121" s="63">
        <f>SUM(AI120)</f>
        <v>42243</v>
      </c>
      <c r="AJ121" s="67">
        <f>AE121/AI121*100</f>
        <v>98.932367492839049</v>
      </c>
      <c r="AK121" s="67">
        <f t="shared" si="158"/>
        <v>15.556994915090197</v>
      </c>
    </row>
    <row r="122" spans="1:37" s="62" customFormat="1">
      <c r="A122" s="60" t="s">
        <v>298</v>
      </c>
      <c r="B122" s="60" t="s">
        <v>296</v>
      </c>
      <c r="C122" s="60" t="s">
        <v>197</v>
      </c>
      <c r="D122" s="60" t="s">
        <v>328</v>
      </c>
      <c r="E122" s="60" t="s">
        <v>90</v>
      </c>
      <c r="F122" s="60">
        <v>90</v>
      </c>
      <c r="G122" s="60" t="s">
        <v>161</v>
      </c>
      <c r="H122" s="60"/>
      <c r="I122" s="60"/>
      <c r="J122" s="60"/>
      <c r="K122" s="60"/>
      <c r="L122" s="60" t="s">
        <v>222</v>
      </c>
      <c r="M122" s="60" t="s">
        <v>218</v>
      </c>
      <c r="N122" s="60" t="s">
        <v>325</v>
      </c>
      <c r="O122" s="60" t="s">
        <v>255</v>
      </c>
      <c r="P122" s="60" t="s">
        <v>256</v>
      </c>
      <c r="Q122" s="60" t="s">
        <v>258</v>
      </c>
      <c r="R122" s="60"/>
      <c r="S122" s="60"/>
      <c r="T122" s="60"/>
      <c r="U122" s="60"/>
      <c r="V122" s="60">
        <v>1</v>
      </c>
      <c r="W122" s="60"/>
      <c r="X122" s="60"/>
      <c r="Y122" s="63">
        <f>Y121</f>
        <v>279463</v>
      </c>
      <c r="Z122" s="63">
        <f>Z121</f>
        <v>268638</v>
      </c>
      <c r="AA122" s="67">
        <f>Z122/Y122*100</f>
        <v>96.126499751308756</v>
      </c>
      <c r="AB122" s="63">
        <f>AB121</f>
        <v>267739</v>
      </c>
      <c r="AC122" s="67">
        <f>Z122/AB122*100</f>
        <v>100.33577476572333</v>
      </c>
      <c r="AD122" s="63">
        <f>AD121</f>
        <v>30903</v>
      </c>
      <c r="AE122" s="63">
        <f>AE121</f>
        <v>41792</v>
      </c>
      <c r="AF122" s="63">
        <f>AF121</f>
        <v>226845</v>
      </c>
      <c r="AG122" s="63">
        <f>AG121</f>
        <v>268637</v>
      </c>
      <c r="AH122" s="67">
        <f>AE122/AD122*100</f>
        <v>135.23606122382941</v>
      </c>
      <c r="AI122" s="63">
        <f>AI121</f>
        <v>42243</v>
      </c>
      <c r="AJ122" s="67">
        <f>AE122/AI122*100</f>
        <v>98.932367492839049</v>
      </c>
      <c r="AK122" s="67">
        <f t="shared" si="158"/>
        <v>15.556994915090197</v>
      </c>
    </row>
    <row r="123" spans="1:37" s="62" customFormat="1">
      <c r="A123" s="63" t="s">
        <v>298</v>
      </c>
      <c r="B123" s="63" t="s">
        <v>296</v>
      </c>
      <c r="C123" s="63" t="s">
        <v>197</v>
      </c>
      <c r="D123" s="63" t="s">
        <v>324</v>
      </c>
      <c r="E123" s="63" t="s">
        <v>82</v>
      </c>
      <c r="F123" s="63">
        <v>90</v>
      </c>
      <c r="G123" s="63" t="s">
        <v>161</v>
      </c>
      <c r="H123" s="63"/>
      <c r="I123" s="63"/>
      <c r="J123" s="63"/>
      <c r="K123" s="63"/>
      <c r="L123" s="63" t="s">
        <v>95</v>
      </c>
      <c r="M123" s="63" t="s">
        <v>216</v>
      </c>
      <c r="N123" s="63" t="s">
        <v>95</v>
      </c>
      <c r="O123" s="63" t="s">
        <v>216</v>
      </c>
      <c r="P123" s="63" t="s">
        <v>268</v>
      </c>
      <c r="Q123" s="63" t="s">
        <v>269</v>
      </c>
      <c r="R123" s="63"/>
      <c r="S123" s="63"/>
      <c r="T123" s="63" t="s">
        <v>205</v>
      </c>
      <c r="U123" s="63" t="s">
        <v>206</v>
      </c>
      <c r="V123" s="63">
        <v>0</v>
      </c>
      <c r="W123" s="63">
        <v>940000</v>
      </c>
      <c r="X123" s="63" t="s">
        <v>111</v>
      </c>
      <c r="Y123" s="63">
        <v>2500000</v>
      </c>
      <c r="Z123" s="63">
        <v>3095270</v>
      </c>
      <c r="AA123" s="67">
        <f>Z123/Y123*100</f>
        <v>123.8108</v>
      </c>
      <c r="AB123" s="63">
        <v>3082046</v>
      </c>
      <c r="AC123" s="67">
        <f>Z123/AB123*100</f>
        <v>100.42906562718402</v>
      </c>
      <c r="AD123" s="63">
        <v>50000</v>
      </c>
      <c r="AE123" s="63">
        <v>91408</v>
      </c>
      <c r="AF123" s="63">
        <v>36620</v>
      </c>
      <c r="AG123" s="63">
        <v>128028</v>
      </c>
      <c r="AH123" s="67">
        <f>AE123/AD123*100</f>
        <v>182.816</v>
      </c>
      <c r="AI123" s="63">
        <v>79674</v>
      </c>
      <c r="AJ123" s="67">
        <f>AE123/AI123*100</f>
        <v>114.727514622085</v>
      </c>
      <c r="AK123" s="67">
        <f t="shared" ref="AK123" si="167">AE123/Z123*100</f>
        <v>2.9531510982886795</v>
      </c>
    </row>
    <row r="124" spans="1:37" s="62" customFormat="1">
      <c r="A124" s="60" t="s">
        <v>298</v>
      </c>
      <c r="B124" s="60" t="s">
        <v>296</v>
      </c>
      <c r="C124" s="60" t="s">
        <v>197</v>
      </c>
      <c r="D124" s="60" t="s">
        <v>324</v>
      </c>
      <c r="E124" s="60" t="s">
        <v>82</v>
      </c>
      <c r="F124" s="60">
        <v>90</v>
      </c>
      <c r="G124" s="60" t="s">
        <v>161</v>
      </c>
      <c r="H124" s="60"/>
      <c r="I124" s="60"/>
      <c r="J124" s="60"/>
      <c r="K124" s="60"/>
      <c r="L124" s="60" t="s">
        <v>95</v>
      </c>
      <c r="M124" s="60" t="s">
        <v>216</v>
      </c>
      <c r="N124" s="60" t="s">
        <v>95</v>
      </c>
      <c r="O124" s="60" t="s">
        <v>216</v>
      </c>
      <c r="P124" s="60" t="s">
        <v>268</v>
      </c>
      <c r="Q124" s="60" t="s">
        <v>327</v>
      </c>
      <c r="R124" s="60"/>
      <c r="S124" s="60"/>
      <c r="T124" s="60"/>
      <c r="U124" s="60"/>
      <c r="V124" s="60">
        <v>1</v>
      </c>
      <c r="W124" s="60"/>
      <c r="X124" s="60" t="s">
        <v>111</v>
      </c>
      <c r="Y124" s="60">
        <f>SUM(Y123:Y123)</f>
        <v>2500000</v>
      </c>
      <c r="Z124" s="60">
        <f>SUM(Z123:Z123)</f>
        <v>3095270</v>
      </c>
      <c r="AA124" s="61">
        <f>Z124/Y124*100</f>
        <v>123.8108</v>
      </c>
      <c r="AB124" s="60">
        <f>SUM(AB123:AB123)</f>
        <v>3082046</v>
      </c>
      <c r="AC124" s="61">
        <f>Z124/AB124*100</f>
        <v>100.42906562718402</v>
      </c>
      <c r="AD124" s="60">
        <f>SUM(AD123:AD123)</f>
        <v>50000</v>
      </c>
      <c r="AE124" s="60">
        <f>SUM(AE123:AE123)</f>
        <v>91408</v>
      </c>
      <c r="AF124" s="60">
        <f>SUM(AF123:AF123)</f>
        <v>36620</v>
      </c>
      <c r="AG124" s="60">
        <f>SUM(AG123:AG123)</f>
        <v>128028</v>
      </c>
      <c r="AH124" s="61">
        <f>AE124/AD124*100</f>
        <v>182.816</v>
      </c>
      <c r="AI124" s="60">
        <f>SUM(AI123:AI123)</f>
        <v>79674</v>
      </c>
      <c r="AJ124" s="61">
        <f>AE124/AI124*100</f>
        <v>114.727514622085</v>
      </c>
      <c r="AK124" s="61">
        <f>AE124/Z124*100</f>
        <v>2.9531510982886795</v>
      </c>
    </row>
    <row r="125" spans="1:37" s="62" customFormat="1">
      <c r="A125" s="63" t="s">
        <v>298</v>
      </c>
      <c r="B125" s="63" t="s">
        <v>296</v>
      </c>
      <c r="C125" s="63" t="s">
        <v>197</v>
      </c>
      <c r="D125" s="63" t="s">
        <v>324</v>
      </c>
      <c r="E125" s="63" t="s">
        <v>82</v>
      </c>
      <c r="F125" s="63">
        <v>90</v>
      </c>
      <c r="G125" s="63" t="s">
        <v>161</v>
      </c>
      <c r="H125" s="63"/>
      <c r="I125" s="63"/>
      <c r="J125" s="63"/>
      <c r="K125" s="63"/>
      <c r="L125" s="63" t="s">
        <v>95</v>
      </c>
      <c r="M125" s="63" t="s">
        <v>216</v>
      </c>
      <c r="N125" s="63" t="s">
        <v>217</v>
      </c>
      <c r="O125" s="63" t="s">
        <v>215</v>
      </c>
      <c r="P125" s="63" t="s">
        <v>268</v>
      </c>
      <c r="Q125" s="63" t="s">
        <v>269</v>
      </c>
      <c r="R125" s="63"/>
      <c r="S125" s="63"/>
      <c r="T125" s="63"/>
      <c r="U125" s="63"/>
      <c r="V125" s="63">
        <v>1</v>
      </c>
      <c r="W125" s="63"/>
      <c r="X125" s="63"/>
      <c r="Y125" s="63">
        <f>Y124</f>
        <v>2500000</v>
      </c>
      <c r="Z125" s="63">
        <f>Z124</f>
        <v>3095270</v>
      </c>
      <c r="AA125" s="67">
        <f t="shared" ref="AA125" si="168">Z125/Y125*100</f>
        <v>123.8108</v>
      </c>
      <c r="AB125" s="63">
        <f>AB124</f>
        <v>3082046</v>
      </c>
      <c r="AC125" s="67">
        <f t="shared" ref="AC125" si="169">Z125/AB125*100</f>
        <v>100.42906562718402</v>
      </c>
      <c r="AD125" s="63">
        <f>AD124</f>
        <v>50000</v>
      </c>
      <c r="AE125" s="63">
        <f>AE124</f>
        <v>91408</v>
      </c>
      <c r="AF125" s="63">
        <f>AF124</f>
        <v>36620</v>
      </c>
      <c r="AG125" s="63">
        <f>AG124</f>
        <v>128028</v>
      </c>
      <c r="AH125" s="67">
        <f t="shared" ref="AH125" si="170">AE125/AD125*100</f>
        <v>182.816</v>
      </c>
      <c r="AI125" s="63">
        <f>AI124</f>
        <v>79674</v>
      </c>
      <c r="AJ125" s="67">
        <f t="shared" ref="AJ125" si="171">AE125/AI125*100</f>
        <v>114.727514622085</v>
      </c>
      <c r="AK125" s="67">
        <f t="shared" ref="AK125" si="172">AE125/Z125*100</f>
        <v>2.9531510982886795</v>
      </c>
    </row>
    <row r="126" spans="1:37" s="62" customFormat="1">
      <c r="A126" s="60" t="s">
        <v>298</v>
      </c>
      <c r="B126" s="60" t="s">
        <v>296</v>
      </c>
      <c r="C126" s="60" t="s">
        <v>197</v>
      </c>
      <c r="D126" s="60" t="s">
        <v>324</v>
      </c>
      <c r="E126" s="60" t="s">
        <v>82</v>
      </c>
      <c r="F126" s="60">
        <v>90</v>
      </c>
      <c r="G126" s="60" t="s">
        <v>161</v>
      </c>
      <c r="H126" s="60"/>
      <c r="I126" s="60"/>
      <c r="J126" s="60"/>
      <c r="K126" s="60"/>
      <c r="L126" s="60" t="s">
        <v>95</v>
      </c>
      <c r="M126" s="60" t="s">
        <v>216</v>
      </c>
      <c r="N126" s="60" t="s">
        <v>239</v>
      </c>
      <c r="O126" s="60" t="s">
        <v>231</v>
      </c>
      <c r="P126" s="60" t="s">
        <v>268</v>
      </c>
      <c r="Q126" s="60" t="s">
        <v>327</v>
      </c>
      <c r="R126" s="60"/>
      <c r="S126" s="60"/>
      <c r="T126" s="60" t="s">
        <v>205</v>
      </c>
      <c r="U126" s="60" t="s">
        <v>206</v>
      </c>
      <c r="V126" s="60">
        <v>0</v>
      </c>
      <c r="W126" s="60">
        <v>940000</v>
      </c>
      <c r="X126" s="60" t="s">
        <v>111</v>
      </c>
      <c r="Y126" s="60">
        <v>2500000</v>
      </c>
      <c r="Z126" s="60">
        <v>3095270</v>
      </c>
      <c r="AA126" s="61">
        <f>Z126/Y126*100</f>
        <v>123.8108</v>
      </c>
      <c r="AB126" s="60">
        <v>3082046</v>
      </c>
      <c r="AC126" s="61">
        <f>Z126/AB126*100</f>
        <v>100.42906562718402</v>
      </c>
      <c r="AD126" s="60">
        <v>50000</v>
      </c>
      <c r="AE126" s="60">
        <v>91408</v>
      </c>
      <c r="AF126" s="60">
        <v>36620</v>
      </c>
      <c r="AG126" s="60">
        <v>128028</v>
      </c>
      <c r="AH126" s="61">
        <f>AE126/AD126*100</f>
        <v>182.816</v>
      </c>
      <c r="AI126" s="60">
        <v>79674</v>
      </c>
      <c r="AJ126" s="61">
        <f>AE126/AI126*100</f>
        <v>114.727514622085</v>
      </c>
      <c r="AK126" s="61">
        <f>AE126/Z126*100</f>
        <v>2.9531510982886795</v>
      </c>
    </row>
    <row r="127" spans="1:37" s="62" customFormat="1">
      <c r="A127" s="63" t="s">
        <v>298</v>
      </c>
      <c r="B127" s="63" t="s">
        <v>296</v>
      </c>
      <c r="C127" s="63" t="s">
        <v>197</v>
      </c>
      <c r="D127" s="63" t="s">
        <v>324</v>
      </c>
      <c r="E127" s="63" t="s">
        <v>82</v>
      </c>
      <c r="F127" s="63">
        <v>90</v>
      </c>
      <c r="G127" s="63" t="s">
        <v>161</v>
      </c>
      <c r="H127" s="63"/>
      <c r="I127" s="63"/>
      <c r="J127" s="63"/>
      <c r="K127" s="63"/>
      <c r="L127" s="63" t="s">
        <v>95</v>
      </c>
      <c r="M127" s="63" t="s">
        <v>216</v>
      </c>
      <c r="N127" s="63" t="s">
        <v>238</v>
      </c>
      <c r="O127" s="63" t="s">
        <v>230</v>
      </c>
      <c r="P127" s="63" t="s">
        <v>268</v>
      </c>
      <c r="Q127" s="63" t="s">
        <v>269</v>
      </c>
      <c r="R127" s="63"/>
      <c r="S127" s="63"/>
      <c r="T127" s="63"/>
      <c r="U127" s="63"/>
      <c r="V127" s="63">
        <v>1</v>
      </c>
      <c r="W127" s="63"/>
      <c r="X127" s="63" t="s">
        <v>111</v>
      </c>
      <c r="Y127" s="63">
        <f>SUM(Y126:Y126)</f>
        <v>2500000</v>
      </c>
      <c r="Z127" s="63">
        <f>SUM(Z126:Z126)</f>
        <v>3095270</v>
      </c>
      <c r="AA127" s="67">
        <f>Z127/Y127*100</f>
        <v>123.8108</v>
      </c>
      <c r="AB127" s="63">
        <f>SUM(AB126:AB126)</f>
        <v>3082046</v>
      </c>
      <c r="AC127" s="67">
        <f>Z127/AB127*100</f>
        <v>100.42906562718402</v>
      </c>
      <c r="AD127" s="63">
        <f>SUM(AD126:AD126)</f>
        <v>50000</v>
      </c>
      <c r="AE127" s="63">
        <f>SUM(AE126:AE126)</f>
        <v>91408</v>
      </c>
      <c r="AF127" s="63">
        <f>SUM(AF126:AF126)</f>
        <v>36620</v>
      </c>
      <c r="AG127" s="63">
        <f>SUM(AG126:AG126)</f>
        <v>128028</v>
      </c>
      <c r="AH127" s="67">
        <f>AE127/AD127*100</f>
        <v>182.816</v>
      </c>
      <c r="AI127" s="63">
        <f>SUM(AI126:AI126)</f>
        <v>79674</v>
      </c>
      <c r="AJ127" s="67">
        <f>AE127/AI127*100</f>
        <v>114.727514622085</v>
      </c>
      <c r="AK127" s="67">
        <f>AE127/Z127*100</f>
        <v>2.9531510982886795</v>
      </c>
    </row>
    <row r="128" spans="1:37" s="62" customFormat="1">
      <c r="A128" s="60" t="s">
        <v>298</v>
      </c>
      <c r="B128" s="60" t="s">
        <v>296</v>
      </c>
      <c r="C128" s="60" t="s">
        <v>197</v>
      </c>
      <c r="D128" s="60" t="s">
        <v>324</v>
      </c>
      <c r="E128" s="60" t="s">
        <v>82</v>
      </c>
      <c r="F128" s="60">
        <v>90</v>
      </c>
      <c r="G128" s="60" t="s">
        <v>161</v>
      </c>
      <c r="H128" s="60"/>
      <c r="I128" s="60"/>
      <c r="J128" s="60"/>
      <c r="K128" s="60"/>
      <c r="L128" s="60" t="s">
        <v>95</v>
      </c>
      <c r="M128" s="60" t="s">
        <v>216</v>
      </c>
      <c r="N128" s="60" t="s">
        <v>239</v>
      </c>
      <c r="O128" s="60" t="s">
        <v>231</v>
      </c>
      <c r="P128" s="60" t="s">
        <v>268</v>
      </c>
      <c r="Q128" s="60" t="s">
        <v>327</v>
      </c>
      <c r="R128" s="60"/>
      <c r="S128" s="60"/>
      <c r="T128" s="60"/>
      <c r="U128" s="60"/>
      <c r="V128" s="60">
        <v>1</v>
      </c>
      <c r="W128" s="60"/>
      <c r="X128" s="60"/>
      <c r="Y128" s="60">
        <f>Y127</f>
        <v>2500000</v>
      </c>
      <c r="Z128" s="60">
        <f>Z127</f>
        <v>3095270</v>
      </c>
      <c r="AA128" s="61">
        <f t="shared" ref="AA128" si="173">Z128/Y128*100</f>
        <v>123.8108</v>
      </c>
      <c r="AB128" s="60">
        <f>AB127</f>
        <v>3082046</v>
      </c>
      <c r="AC128" s="61">
        <f t="shared" ref="AC128" si="174">Z128/AB128*100</f>
        <v>100.42906562718402</v>
      </c>
      <c r="AD128" s="60">
        <f>AD127</f>
        <v>50000</v>
      </c>
      <c r="AE128" s="60">
        <f>AE127</f>
        <v>91408</v>
      </c>
      <c r="AF128" s="60">
        <f>AF127</f>
        <v>36620</v>
      </c>
      <c r="AG128" s="60">
        <f>AG127</f>
        <v>128028</v>
      </c>
      <c r="AH128" s="61">
        <f t="shared" ref="AH128" si="175">AE128/AD128*100</f>
        <v>182.816</v>
      </c>
      <c r="AI128" s="60">
        <f>AI127</f>
        <v>79674</v>
      </c>
      <c r="AJ128" s="61">
        <f t="shared" ref="AJ128" si="176">AE128/AI128*100</f>
        <v>114.727514622085</v>
      </c>
      <c r="AK128" s="61">
        <f t="shared" ref="AK128" si="177">AE128/Z128*100</f>
        <v>2.9531510982886795</v>
      </c>
    </row>
    <row r="129" spans="1:37" s="62" customFormat="1">
      <c r="A129" s="63" t="s">
        <v>298</v>
      </c>
      <c r="B129" s="63" t="s">
        <v>296</v>
      </c>
      <c r="C129" s="63" t="s">
        <v>197</v>
      </c>
      <c r="D129" s="63" t="s">
        <v>324</v>
      </c>
      <c r="E129" s="63" t="s">
        <v>82</v>
      </c>
      <c r="F129" s="63">
        <v>90</v>
      </c>
      <c r="G129" s="63" t="s">
        <v>161</v>
      </c>
      <c r="H129" s="63"/>
      <c r="I129" s="63"/>
      <c r="J129" s="63"/>
      <c r="K129" s="63"/>
      <c r="L129" s="63" t="s">
        <v>95</v>
      </c>
      <c r="M129" s="63" t="s">
        <v>216</v>
      </c>
      <c r="N129" s="63" t="s">
        <v>241</v>
      </c>
      <c r="O129" s="63" t="s">
        <v>233</v>
      </c>
      <c r="P129" s="63" t="s">
        <v>268</v>
      </c>
      <c r="Q129" s="63" t="s">
        <v>269</v>
      </c>
      <c r="R129" s="63"/>
      <c r="S129" s="63"/>
      <c r="T129" s="63" t="s">
        <v>205</v>
      </c>
      <c r="U129" s="63" t="s">
        <v>206</v>
      </c>
      <c r="V129" s="63">
        <v>0</v>
      </c>
      <c r="W129" s="63">
        <v>940000</v>
      </c>
      <c r="X129" s="63" t="s">
        <v>111</v>
      </c>
      <c r="Y129" s="63">
        <v>2500000</v>
      </c>
      <c r="Z129" s="63">
        <v>3095270</v>
      </c>
      <c r="AA129" s="67">
        <f t="shared" ref="AA129:AA136" si="178">Z129/Y129*100</f>
        <v>123.8108</v>
      </c>
      <c r="AB129" s="63">
        <v>3082046</v>
      </c>
      <c r="AC129" s="67">
        <f t="shared" ref="AC129:AC136" si="179">Z129/AB129*100</f>
        <v>100.42906562718402</v>
      </c>
      <c r="AD129" s="63">
        <v>50000</v>
      </c>
      <c r="AE129" s="63">
        <v>91408</v>
      </c>
      <c r="AF129" s="63">
        <v>36620</v>
      </c>
      <c r="AG129" s="63">
        <v>128028</v>
      </c>
      <c r="AH129" s="67">
        <f t="shared" ref="AH129:AH136" si="180">AE129/AD129*100</f>
        <v>182.816</v>
      </c>
      <c r="AI129" s="63">
        <v>79674</v>
      </c>
      <c r="AJ129" s="67">
        <f t="shared" ref="AJ129:AJ136" si="181">AE129/AI129*100</f>
        <v>114.727514622085</v>
      </c>
      <c r="AK129" s="67">
        <f t="shared" ref="AK129:AK130" si="182">AE129/Z129*100</f>
        <v>2.9531510982886795</v>
      </c>
    </row>
    <row r="130" spans="1:37" s="62" customFormat="1">
      <c r="A130" s="60" t="s">
        <v>298</v>
      </c>
      <c r="B130" s="60" t="s">
        <v>296</v>
      </c>
      <c r="C130" s="60" t="s">
        <v>197</v>
      </c>
      <c r="D130" s="60" t="s">
        <v>324</v>
      </c>
      <c r="E130" s="60" t="s">
        <v>82</v>
      </c>
      <c r="F130" s="60">
        <v>90</v>
      </c>
      <c r="G130" s="60" t="s">
        <v>161</v>
      </c>
      <c r="H130" s="60"/>
      <c r="I130" s="60"/>
      <c r="J130" s="60"/>
      <c r="K130" s="60"/>
      <c r="L130" s="60" t="s">
        <v>95</v>
      </c>
      <c r="M130" s="60" t="s">
        <v>216</v>
      </c>
      <c r="N130" s="60" t="s">
        <v>241</v>
      </c>
      <c r="O130" s="60" t="s">
        <v>233</v>
      </c>
      <c r="P130" s="60" t="s">
        <v>268</v>
      </c>
      <c r="Q130" s="60" t="s">
        <v>327</v>
      </c>
      <c r="R130" s="60"/>
      <c r="S130" s="60"/>
      <c r="T130" s="60"/>
      <c r="U130" s="60"/>
      <c r="V130" s="60">
        <v>1</v>
      </c>
      <c r="W130" s="60"/>
      <c r="X130" s="60" t="s">
        <v>111</v>
      </c>
      <c r="Y130" s="60">
        <f>SUM(Y129:Y129)</f>
        <v>2500000</v>
      </c>
      <c r="Z130" s="60">
        <f>SUM(Z129:Z129)</f>
        <v>3095270</v>
      </c>
      <c r="AA130" s="61">
        <f t="shared" si="178"/>
        <v>123.8108</v>
      </c>
      <c r="AB130" s="60">
        <f>SUM(AB129:AB129)</f>
        <v>3082046</v>
      </c>
      <c r="AC130" s="61">
        <f t="shared" si="179"/>
        <v>100.42906562718402</v>
      </c>
      <c r="AD130" s="60">
        <f>SUM(AD129:AD129)</f>
        <v>50000</v>
      </c>
      <c r="AE130" s="60">
        <f>SUM(AE129:AE129)</f>
        <v>91408</v>
      </c>
      <c r="AF130" s="60">
        <f>SUM(AF129:AF129)</f>
        <v>36620</v>
      </c>
      <c r="AG130" s="60">
        <f>SUM(AG129:AG129)</f>
        <v>128028</v>
      </c>
      <c r="AH130" s="61">
        <f t="shared" si="180"/>
        <v>182.816</v>
      </c>
      <c r="AI130" s="60">
        <f>SUM(AI129:AI129)</f>
        <v>79674</v>
      </c>
      <c r="AJ130" s="61">
        <f t="shared" si="181"/>
        <v>114.727514622085</v>
      </c>
      <c r="AK130" s="61">
        <f t="shared" si="182"/>
        <v>2.9531510982886795</v>
      </c>
    </row>
    <row r="131" spans="1:37" s="62" customFormat="1">
      <c r="A131" s="63" t="s">
        <v>298</v>
      </c>
      <c r="B131" s="63" t="s">
        <v>296</v>
      </c>
      <c r="C131" s="63" t="s">
        <v>197</v>
      </c>
      <c r="D131" s="63" t="s">
        <v>324</v>
      </c>
      <c r="E131" s="63" t="s">
        <v>82</v>
      </c>
      <c r="F131" s="63">
        <v>90</v>
      </c>
      <c r="G131" s="63" t="s">
        <v>161</v>
      </c>
      <c r="H131" s="63"/>
      <c r="I131" s="63"/>
      <c r="J131" s="63"/>
      <c r="K131" s="63"/>
      <c r="L131" s="63" t="s">
        <v>95</v>
      </c>
      <c r="M131" s="63" t="s">
        <v>216</v>
      </c>
      <c r="N131" s="63" t="s">
        <v>240</v>
      </c>
      <c r="O131" s="63" t="s">
        <v>232</v>
      </c>
      <c r="P131" s="63" t="s">
        <v>268</v>
      </c>
      <c r="Q131" s="63" t="s">
        <v>269</v>
      </c>
      <c r="R131" s="63"/>
      <c r="S131" s="63"/>
      <c r="T131" s="63"/>
      <c r="U131" s="63"/>
      <c r="V131" s="63">
        <v>1</v>
      </c>
      <c r="W131" s="63"/>
      <c r="X131" s="63"/>
      <c r="Y131" s="63">
        <f>Y130</f>
        <v>2500000</v>
      </c>
      <c r="Z131" s="63">
        <f>Z130</f>
        <v>3095270</v>
      </c>
      <c r="AA131" s="67">
        <f t="shared" si="178"/>
        <v>123.8108</v>
      </c>
      <c r="AB131" s="63">
        <f>AB130</f>
        <v>3082046</v>
      </c>
      <c r="AC131" s="67">
        <f t="shared" si="179"/>
        <v>100.42906562718402</v>
      </c>
      <c r="AD131" s="63">
        <f>AD130</f>
        <v>50000</v>
      </c>
      <c r="AE131" s="63">
        <f>AE130</f>
        <v>91408</v>
      </c>
      <c r="AF131" s="63">
        <f>AF130</f>
        <v>36620</v>
      </c>
      <c r="AG131" s="63">
        <f>AG130</f>
        <v>128028</v>
      </c>
      <c r="AH131" s="67">
        <f t="shared" si="180"/>
        <v>182.816</v>
      </c>
      <c r="AI131" s="63">
        <f>AI130</f>
        <v>79674</v>
      </c>
      <c r="AJ131" s="67">
        <f t="shared" si="181"/>
        <v>114.727514622085</v>
      </c>
      <c r="AK131" s="67">
        <f>AE131/Z131*100</f>
        <v>2.9531510982886795</v>
      </c>
    </row>
    <row r="132" spans="1:37" s="62" customFormat="1">
      <c r="A132" s="60" t="s">
        <v>298</v>
      </c>
      <c r="B132" s="60" t="s">
        <v>296</v>
      </c>
      <c r="C132" s="60" t="s">
        <v>197</v>
      </c>
      <c r="D132" s="60" t="s">
        <v>324</v>
      </c>
      <c r="E132" s="60" t="s">
        <v>82</v>
      </c>
      <c r="F132" s="60">
        <v>90</v>
      </c>
      <c r="G132" s="60" t="s">
        <v>161</v>
      </c>
      <c r="H132" s="60"/>
      <c r="I132" s="60"/>
      <c r="J132" s="60"/>
      <c r="K132" s="60"/>
      <c r="L132" s="60" t="s">
        <v>217</v>
      </c>
      <c r="M132" s="60" t="s">
        <v>215</v>
      </c>
      <c r="N132" s="60" t="s">
        <v>326</v>
      </c>
      <c r="O132" s="60" t="s">
        <v>210</v>
      </c>
      <c r="P132" s="60" t="s">
        <v>268</v>
      </c>
      <c r="Q132" s="60" t="s">
        <v>269</v>
      </c>
      <c r="R132" s="59" t="s">
        <v>326</v>
      </c>
      <c r="S132" s="60" t="s">
        <v>210</v>
      </c>
      <c r="T132" s="60"/>
      <c r="U132" s="60"/>
      <c r="V132" s="60">
        <v>0</v>
      </c>
      <c r="W132" s="60">
        <v>941000</v>
      </c>
      <c r="X132" s="60" t="s">
        <v>92</v>
      </c>
      <c r="Y132" s="60">
        <v>61400</v>
      </c>
      <c r="Z132" s="60">
        <v>61671</v>
      </c>
      <c r="AA132" s="61">
        <f t="shared" si="178"/>
        <v>100.4413680781759</v>
      </c>
      <c r="AB132" s="60">
        <v>60698</v>
      </c>
      <c r="AC132" s="61">
        <f t="shared" si="179"/>
        <v>101.6030182213582</v>
      </c>
      <c r="AD132" s="60">
        <v>-35318</v>
      </c>
      <c r="AE132" s="60">
        <v>-34602</v>
      </c>
      <c r="AF132" s="60">
        <v>96273</v>
      </c>
      <c r="AG132" s="60">
        <v>61671</v>
      </c>
      <c r="AH132" s="61">
        <f t="shared" si="180"/>
        <v>97.97270513619118</v>
      </c>
      <c r="AI132" s="60">
        <v>-33196</v>
      </c>
      <c r="AJ132" s="61">
        <f t="shared" si="181"/>
        <v>104.23545005422341</v>
      </c>
      <c r="AK132" s="61">
        <f>AE132/Z132*100</f>
        <v>-56.107408668580049</v>
      </c>
    </row>
    <row r="133" spans="1:37" s="62" customFormat="1">
      <c r="A133" s="63" t="s">
        <v>298</v>
      </c>
      <c r="B133" s="63" t="s">
        <v>296</v>
      </c>
      <c r="C133" s="63" t="s">
        <v>197</v>
      </c>
      <c r="D133" s="63" t="s">
        <v>324</v>
      </c>
      <c r="E133" s="63" t="s">
        <v>82</v>
      </c>
      <c r="F133" s="63">
        <v>90</v>
      </c>
      <c r="G133" s="63" t="s">
        <v>161</v>
      </c>
      <c r="H133" s="63"/>
      <c r="I133" s="63"/>
      <c r="J133" s="63"/>
      <c r="K133" s="63"/>
      <c r="L133" s="63" t="s">
        <v>95</v>
      </c>
      <c r="M133" s="63" t="s">
        <v>216</v>
      </c>
      <c r="N133" s="63" t="s">
        <v>326</v>
      </c>
      <c r="O133" s="63" t="s">
        <v>210</v>
      </c>
      <c r="P133" s="63" t="s">
        <v>268</v>
      </c>
      <c r="Q133" s="63" t="s">
        <v>269</v>
      </c>
      <c r="R133" s="63"/>
      <c r="S133" s="63"/>
      <c r="T133" s="63"/>
      <c r="U133" s="63"/>
      <c r="V133" s="63">
        <v>1</v>
      </c>
      <c r="W133" s="63"/>
      <c r="X133" s="63" t="s">
        <v>207</v>
      </c>
      <c r="Y133" s="63">
        <f>SUM(Y132:Y132)</f>
        <v>61400</v>
      </c>
      <c r="Z133" s="63">
        <f>SUM(Z132)</f>
        <v>61671</v>
      </c>
      <c r="AA133" s="67">
        <f t="shared" si="178"/>
        <v>100.4413680781759</v>
      </c>
      <c r="AB133" s="63">
        <f>SUM(AB132)</f>
        <v>60698</v>
      </c>
      <c r="AC133" s="67">
        <f t="shared" si="179"/>
        <v>101.6030182213582</v>
      </c>
      <c r="AD133" s="63">
        <f>SUM(AD132)</f>
        <v>-35318</v>
      </c>
      <c r="AE133" s="63">
        <f>SUM(AE132)</f>
        <v>-34602</v>
      </c>
      <c r="AF133" s="63">
        <f>SUM(AF132)</f>
        <v>96273</v>
      </c>
      <c r="AG133" s="63">
        <f>SUM(AG132)</f>
        <v>61671</v>
      </c>
      <c r="AH133" s="67">
        <f t="shared" si="180"/>
        <v>97.97270513619118</v>
      </c>
      <c r="AI133" s="63">
        <f>SUM(AI132)</f>
        <v>-33196</v>
      </c>
      <c r="AJ133" s="67">
        <f t="shared" si="181"/>
        <v>104.23545005422341</v>
      </c>
      <c r="AK133" s="67">
        <f>AE133/Z133*100</f>
        <v>-56.107408668580049</v>
      </c>
    </row>
    <row r="134" spans="1:37" s="62" customFormat="1">
      <c r="A134" s="60" t="s">
        <v>298</v>
      </c>
      <c r="B134" s="60" t="s">
        <v>296</v>
      </c>
      <c r="C134" s="60" t="s">
        <v>197</v>
      </c>
      <c r="D134" s="60" t="s">
        <v>324</v>
      </c>
      <c r="E134" s="60" t="s">
        <v>82</v>
      </c>
      <c r="F134" s="60">
        <v>90</v>
      </c>
      <c r="G134" s="60" t="s">
        <v>161</v>
      </c>
      <c r="H134" s="60"/>
      <c r="I134" s="60"/>
      <c r="J134" s="60"/>
      <c r="K134" s="60"/>
      <c r="L134" s="60" t="s">
        <v>217</v>
      </c>
      <c r="M134" s="60" t="s">
        <v>215</v>
      </c>
      <c r="N134" s="60" t="s">
        <v>326</v>
      </c>
      <c r="O134" s="60" t="s">
        <v>210</v>
      </c>
      <c r="P134" s="60" t="s">
        <v>268</v>
      </c>
      <c r="Q134" s="60" t="s">
        <v>327</v>
      </c>
      <c r="R134" s="60"/>
      <c r="S134" s="60"/>
      <c r="T134" s="60"/>
      <c r="U134" s="60"/>
      <c r="V134" s="60">
        <v>1</v>
      </c>
      <c r="W134" s="60"/>
      <c r="X134" s="60"/>
      <c r="Y134" s="60">
        <f>Y133</f>
        <v>61400</v>
      </c>
      <c r="Z134" s="60">
        <f>Z133</f>
        <v>61671</v>
      </c>
      <c r="AA134" s="61">
        <f t="shared" si="178"/>
        <v>100.4413680781759</v>
      </c>
      <c r="AB134" s="60">
        <f>AB133</f>
        <v>60698</v>
      </c>
      <c r="AC134" s="61">
        <f t="shared" si="179"/>
        <v>101.6030182213582</v>
      </c>
      <c r="AD134" s="60">
        <f>AD133</f>
        <v>-35318</v>
      </c>
      <c r="AE134" s="60">
        <f>AE133</f>
        <v>-34602</v>
      </c>
      <c r="AF134" s="60">
        <f>AF133</f>
        <v>96273</v>
      </c>
      <c r="AG134" s="60">
        <f>AG133</f>
        <v>61671</v>
      </c>
      <c r="AH134" s="61">
        <f t="shared" si="180"/>
        <v>97.97270513619118</v>
      </c>
      <c r="AI134" s="60">
        <f>AI133</f>
        <v>-33196</v>
      </c>
      <c r="AJ134" s="61">
        <f t="shared" si="181"/>
        <v>104.23545005422341</v>
      </c>
      <c r="AK134" s="61">
        <f>AE134/Z134*100</f>
        <v>-56.107408668580049</v>
      </c>
    </row>
    <row r="135" spans="1:37" s="62" customFormat="1">
      <c r="A135" s="63" t="s">
        <v>298</v>
      </c>
      <c r="B135" s="63" t="s">
        <v>296</v>
      </c>
      <c r="C135" s="63" t="s">
        <v>197</v>
      </c>
      <c r="D135" s="63" t="s">
        <v>324</v>
      </c>
      <c r="E135" s="63" t="s">
        <v>82</v>
      </c>
      <c r="F135" s="63">
        <v>90</v>
      </c>
      <c r="G135" s="63" t="s">
        <v>161</v>
      </c>
      <c r="H135" s="63"/>
      <c r="I135" s="63"/>
      <c r="J135" s="63"/>
      <c r="K135" s="63"/>
      <c r="L135" s="63" t="s">
        <v>225</v>
      </c>
      <c r="M135" s="63" t="s">
        <v>221</v>
      </c>
      <c r="N135" s="63" t="s">
        <v>225</v>
      </c>
      <c r="O135" s="63" t="s">
        <v>221</v>
      </c>
      <c r="P135" s="63" t="s">
        <v>257</v>
      </c>
      <c r="Q135" s="63" t="s">
        <v>258</v>
      </c>
      <c r="R135" s="63"/>
      <c r="S135" s="63"/>
      <c r="T135" s="63" t="s">
        <v>205</v>
      </c>
      <c r="U135" s="63" t="s">
        <v>206</v>
      </c>
      <c r="V135" s="63">
        <v>0</v>
      </c>
      <c r="W135" s="63">
        <v>940000</v>
      </c>
      <c r="X135" s="63" t="s">
        <v>111</v>
      </c>
      <c r="Y135" s="63">
        <v>2500000</v>
      </c>
      <c r="Z135" s="63">
        <v>3095270</v>
      </c>
      <c r="AA135" s="67">
        <f t="shared" si="178"/>
        <v>123.8108</v>
      </c>
      <c r="AB135" s="63">
        <v>3082046</v>
      </c>
      <c r="AC135" s="67">
        <f t="shared" si="179"/>
        <v>100.42906562718402</v>
      </c>
      <c r="AD135" s="63">
        <v>50000</v>
      </c>
      <c r="AE135" s="63">
        <v>91408</v>
      </c>
      <c r="AF135" s="63">
        <v>36620</v>
      </c>
      <c r="AG135" s="63">
        <v>128028</v>
      </c>
      <c r="AH135" s="67">
        <f t="shared" si="180"/>
        <v>182.816</v>
      </c>
      <c r="AI135" s="63">
        <v>79674</v>
      </c>
      <c r="AJ135" s="67">
        <f t="shared" si="181"/>
        <v>114.727514622085</v>
      </c>
      <c r="AK135" s="67">
        <f t="shared" ref="AK135" si="183">AE135/Z135*100</f>
        <v>2.9531510982886795</v>
      </c>
    </row>
    <row r="136" spans="1:37" s="62" customFormat="1">
      <c r="A136" s="60" t="s">
        <v>298</v>
      </c>
      <c r="B136" s="60" t="s">
        <v>296</v>
      </c>
      <c r="C136" s="60" t="s">
        <v>197</v>
      </c>
      <c r="D136" s="60" t="s">
        <v>324</v>
      </c>
      <c r="E136" s="60" t="s">
        <v>82</v>
      </c>
      <c r="F136" s="60">
        <v>90</v>
      </c>
      <c r="G136" s="60" t="s">
        <v>161</v>
      </c>
      <c r="H136" s="60"/>
      <c r="I136" s="60"/>
      <c r="J136" s="60"/>
      <c r="K136" s="60"/>
      <c r="L136" s="60" t="s">
        <v>224</v>
      </c>
      <c r="M136" s="60" t="s">
        <v>220</v>
      </c>
      <c r="N136" s="60" t="s">
        <v>224</v>
      </c>
      <c r="O136" s="60" t="s">
        <v>220</v>
      </c>
      <c r="P136" s="60" t="s">
        <v>256</v>
      </c>
      <c r="Q136" s="60" t="s">
        <v>258</v>
      </c>
      <c r="R136" s="60"/>
      <c r="S136" s="60"/>
      <c r="T136" s="60"/>
      <c r="U136" s="60"/>
      <c r="V136" s="60">
        <v>1</v>
      </c>
      <c r="W136" s="60"/>
      <c r="X136" s="60" t="s">
        <v>91</v>
      </c>
      <c r="Y136" s="60">
        <f>SUM(Y135:Y135)</f>
        <v>2500000</v>
      </c>
      <c r="Z136" s="60">
        <f>SUM(Z135:Z135)</f>
        <v>3095270</v>
      </c>
      <c r="AA136" s="61">
        <f t="shared" si="178"/>
        <v>123.8108</v>
      </c>
      <c r="AB136" s="60">
        <f>SUM(AB135:AB135)</f>
        <v>3082046</v>
      </c>
      <c r="AC136" s="61">
        <f t="shared" si="179"/>
        <v>100.42906562718402</v>
      </c>
      <c r="AD136" s="60">
        <f>SUM(AD135:AD135)</f>
        <v>50000</v>
      </c>
      <c r="AE136" s="60">
        <f>SUM(AE135:AE135)</f>
        <v>91408</v>
      </c>
      <c r="AF136" s="60">
        <f>SUM(AF135:AF135)</f>
        <v>36620</v>
      </c>
      <c r="AG136" s="60">
        <f>SUM(AG135:AG135)</f>
        <v>128028</v>
      </c>
      <c r="AH136" s="61">
        <f t="shared" si="180"/>
        <v>182.816</v>
      </c>
      <c r="AI136" s="60">
        <f>SUM(AI135:AI135)</f>
        <v>79674</v>
      </c>
      <c r="AJ136" s="61">
        <f t="shared" si="181"/>
        <v>114.727514622085</v>
      </c>
      <c r="AK136" s="61">
        <f>AE136/Z136*100</f>
        <v>2.9531510982886795</v>
      </c>
    </row>
    <row r="137" spans="1:37" s="62" customFormat="1">
      <c r="A137" s="63" t="s">
        <v>298</v>
      </c>
      <c r="B137" s="63" t="s">
        <v>296</v>
      </c>
      <c r="C137" s="63" t="s">
        <v>197</v>
      </c>
      <c r="D137" s="63" t="s">
        <v>324</v>
      </c>
      <c r="E137" s="63" t="s">
        <v>82</v>
      </c>
      <c r="F137" s="63">
        <v>90</v>
      </c>
      <c r="G137" s="63" t="s">
        <v>161</v>
      </c>
      <c r="H137" s="63"/>
      <c r="I137" s="63"/>
      <c r="J137" s="63"/>
      <c r="K137" s="63"/>
      <c r="L137" s="63" t="s">
        <v>225</v>
      </c>
      <c r="M137" s="63" t="s">
        <v>221</v>
      </c>
      <c r="N137" s="63" t="s">
        <v>225</v>
      </c>
      <c r="O137" s="63" t="s">
        <v>220</v>
      </c>
      <c r="P137" s="63" t="s">
        <v>256</v>
      </c>
      <c r="Q137" s="63" t="s">
        <v>258</v>
      </c>
      <c r="R137" s="63"/>
      <c r="S137" s="63"/>
      <c r="T137" s="63"/>
      <c r="U137" s="63"/>
      <c r="V137" s="63">
        <v>1</v>
      </c>
      <c r="W137" s="63"/>
      <c r="X137" s="63"/>
      <c r="Y137" s="63">
        <f>Y136</f>
        <v>2500000</v>
      </c>
      <c r="Z137" s="63">
        <f>Z136</f>
        <v>3095270</v>
      </c>
      <c r="AA137" s="67">
        <f t="shared" ref="AA137" si="184">Z137/Y137*100</f>
        <v>123.8108</v>
      </c>
      <c r="AB137" s="63">
        <f>AB136</f>
        <v>3082046</v>
      </c>
      <c r="AC137" s="67">
        <f t="shared" ref="AC137" si="185">Z137/AB137*100</f>
        <v>100.42906562718402</v>
      </c>
      <c r="AD137" s="63">
        <f>AD136</f>
        <v>50000</v>
      </c>
      <c r="AE137" s="63">
        <f>AE136</f>
        <v>91408</v>
      </c>
      <c r="AF137" s="63">
        <f t="shared" ref="AF137" si="186">AF136</f>
        <v>36620</v>
      </c>
      <c r="AG137" s="63">
        <f t="shared" ref="AG137" si="187">AG136</f>
        <v>128028</v>
      </c>
      <c r="AH137" s="67">
        <f t="shared" ref="AH137" si="188">AE137/AD137*100</f>
        <v>182.816</v>
      </c>
      <c r="AI137" s="63">
        <f>AI136</f>
        <v>79674</v>
      </c>
      <c r="AJ137" s="67">
        <f t="shared" ref="AJ137" si="189">AE137/AI137*100</f>
        <v>114.727514622085</v>
      </c>
      <c r="AK137" s="67">
        <f t="shared" ref="AK137:AK138" si="190">AE137/Z137*100</f>
        <v>2.9531510982886795</v>
      </c>
    </row>
    <row r="138" spans="1:37" s="62" customFormat="1">
      <c r="A138" s="60" t="s">
        <v>298</v>
      </c>
      <c r="B138" s="60" t="s">
        <v>296</v>
      </c>
      <c r="C138" s="60" t="s">
        <v>197</v>
      </c>
      <c r="D138" s="60" t="s">
        <v>324</v>
      </c>
      <c r="E138" s="60" t="s">
        <v>82</v>
      </c>
      <c r="F138" s="60">
        <v>90</v>
      </c>
      <c r="G138" s="60" t="s">
        <v>161</v>
      </c>
      <c r="H138" s="60"/>
      <c r="I138" s="60"/>
      <c r="J138" s="60"/>
      <c r="K138" s="60"/>
      <c r="L138" s="60" t="s">
        <v>225</v>
      </c>
      <c r="M138" s="60" t="s">
        <v>221</v>
      </c>
      <c r="N138" s="60" t="s">
        <v>225</v>
      </c>
      <c r="O138" s="60" t="s">
        <v>220</v>
      </c>
      <c r="P138" s="59" t="s">
        <v>260</v>
      </c>
      <c r="Q138" s="60" t="s">
        <v>261</v>
      </c>
      <c r="R138" s="60"/>
      <c r="S138" s="60"/>
      <c r="T138" s="60" t="s">
        <v>205</v>
      </c>
      <c r="U138" s="60" t="s">
        <v>206</v>
      </c>
      <c r="V138" s="60">
        <v>0</v>
      </c>
      <c r="W138" s="60">
        <v>940000</v>
      </c>
      <c r="X138" s="60" t="s">
        <v>111</v>
      </c>
      <c r="Y138" s="60">
        <v>2500000</v>
      </c>
      <c r="Z138" s="60">
        <v>3095270</v>
      </c>
      <c r="AA138" s="61">
        <f>Z138/Y138*100</f>
        <v>123.8108</v>
      </c>
      <c r="AB138" s="60">
        <v>3082046</v>
      </c>
      <c r="AC138" s="61">
        <f>Z138/AB138*100</f>
        <v>100.42906562718402</v>
      </c>
      <c r="AD138" s="60">
        <v>50000</v>
      </c>
      <c r="AE138" s="60">
        <v>91408</v>
      </c>
      <c r="AF138" s="60">
        <v>36620</v>
      </c>
      <c r="AG138" s="60">
        <v>128028</v>
      </c>
      <c r="AH138" s="61">
        <f>AE138/AD138*100</f>
        <v>182.816</v>
      </c>
      <c r="AI138" s="60">
        <v>79674</v>
      </c>
      <c r="AJ138" s="61">
        <f>AE138/AI138*100</f>
        <v>114.727514622085</v>
      </c>
      <c r="AK138" s="61">
        <f t="shared" si="190"/>
        <v>2.9531510982886795</v>
      </c>
    </row>
    <row r="139" spans="1:37" s="62" customFormat="1">
      <c r="A139" s="63" t="s">
        <v>298</v>
      </c>
      <c r="B139" s="63" t="s">
        <v>296</v>
      </c>
      <c r="C139" s="63" t="s">
        <v>197</v>
      </c>
      <c r="D139" s="63" t="s">
        <v>324</v>
      </c>
      <c r="E139" s="63" t="s">
        <v>82</v>
      </c>
      <c r="F139" s="63">
        <v>90</v>
      </c>
      <c r="G139" s="63" t="s">
        <v>161</v>
      </c>
      <c r="H139" s="63"/>
      <c r="I139" s="63"/>
      <c r="J139" s="63"/>
      <c r="K139" s="63"/>
      <c r="L139" s="63" t="s">
        <v>225</v>
      </c>
      <c r="M139" s="63" t="s">
        <v>221</v>
      </c>
      <c r="N139" s="63" t="s">
        <v>225</v>
      </c>
      <c r="O139" s="63" t="s">
        <v>220</v>
      </c>
      <c r="P139" s="63" t="s">
        <v>259</v>
      </c>
      <c r="Q139" s="63" t="s">
        <v>261</v>
      </c>
      <c r="R139" s="63"/>
      <c r="S139" s="63"/>
      <c r="T139" s="63"/>
      <c r="U139" s="63"/>
      <c r="V139" s="63">
        <v>1</v>
      </c>
      <c r="W139" s="63"/>
      <c r="X139" s="63" t="s">
        <v>111</v>
      </c>
      <c r="Y139" s="63">
        <f>SUM(Y138:Y138)</f>
        <v>2500000</v>
      </c>
      <c r="Z139" s="63">
        <f>SUM(Z138:Z138)</f>
        <v>3095270</v>
      </c>
      <c r="AA139" s="67">
        <f>Z139/Y139*100</f>
        <v>123.8108</v>
      </c>
      <c r="AB139" s="63">
        <f>SUM(AB138:AB138)</f>
        <v>3082046</v>
      </c>
      <c r="AC139" s="67">
        <f>Z139/AB139*100</f>
        <v>100.42906562718402</v>
      </c>
      <c r="AD139" s="63">
        <f>SUM(AD138:AD138)</f>
        <v>50000</v>
      </c>
      <c r="AE139" s="63">
        <f>SUM(AE138:AE138)</f>
        <v>91408</v>
      </c>
      <c r="AF139" s="63">
        <f>SUM(AF138:AF138)</f>
        <v>36620</v>
      </c>
      <c r="AG139" s="63">
        <f>SUM(AG138:AG138)</f>
        <v>128028</v>
      </c>
      <c r="AH139" s="67">
        <f>AE139/AD139*100</f>
        <v>182.816</v>
      </c>
      <c r="AI139" s="63">
        <f>SUM(AI138:AI138)</f>
        <v>79674</v>
      </c>
      <c r="AJ139" s="67">
        <f>AE139/AI139*100</f>
        <v>114.727514622085</v>
      </c>
      <c r="AK139" s="67">
        <f>AE139/Z139*100</f>
        <v>2.9531510982886795</v>
      </c>
    </row>
    <row r="140" spans="1:37" s="62" customFormat="1">
      <c r="A140" s="60" t="s">
        <v>298</v>
      </c>
      <c r="B140" s="60" t="s">
        <v>296</v>
      </c>
      <c r="C140" s="60" t="s">
        <v>197</v>
      </c>
      <c r="D140" s="60" t="s">
        <v>324</v>
      </c>
      <c r="E140" s="60" t="s">
        <v>82</v>
      </c>
      <c r="F140" s="60">
        <v>90</v>
      </c>
      <c r="G140" s="60" t="s">
        <v>161</v>
      </c>
      <c r="H140" s="60"/>
      <c r="I140" s="60"/>
      <c r="J140" s="60"/>
      <c r="K140" s="60"/>
      <c r="L140" s="60" t="s">
        <v>224</v>
      </c>
      <c r="M140" s="60" t="s">
        <v>220</v>
      </c>
      <c r="N140" s="60" t="s">
        <v>224</v>
      </c>
      <c r="O140" s="60" t="s">
        <v>220</v>
      </c>
      <c r="P140" s="60" t="s">
        <v>259</v>
      </c>
      <c r="Q140" s="60" t="s">
        <v>261</v>
      </c>
      <c r="R140" s="60"/>
      <c r="S140" s="60"/>
      <c r="T140" s="60"/>
      <c r="U140" s="60"/>
      <c r="V140" s="60">
        <v>1</v>
      </c>
      <c r="W140" s="60"/>
      <c r="X140" s="60"/>
      <c r="Y140" s="60">
        <f>Y139</f>
        <v>2500000</v>
      </c>
      <c r="Z140" s="60">
        <f>Z139</f>
        <v>3095270</v>
      </c>
      <c r="AA140" s="61">
        <f t="shared" ref="AA140" si="191">Z140/Y140*100</f>
        <v>123.8108</v>
      </c>
      <c r="AB140" s="60">
        <f>AB139</f>
        <v>3082046</v>
      </c>
      <c r="AC140" s="61">
        <f t="shared" ref="AC140" si="192">Z140/AB140*100</f>
        <v>100.42906562718402</v>
      </c>
      <c r="AD140" s="60">
        <f>AD139</f>
        <v>50000</v>
      </c>
      <c r="AE140" s="60">
        <f>AE139</f>
        <v>91408</v>
      </c>
      <c r="AF140" s="60">
        <f t="shared" ref="AF140" si="193">AF139</f>
        <v>36620</v>
      </c>
      <c r="AG140" s="60">
        <f t="shared" ref="AG140" si="194">AG139</f>
        <v>128028</v>
      </c>
      <c r="AH140" s="61">
        <f t="shared" ref="AH140" si="195">AE140/AD140*100</f>
        <v>182.816</v>
      </c>
      <c r="AI140" s="60">
        <f>AI139</f>
        <v>79674</v>
      </c>
      <c r="AJ140" s="61">
        <f t="shared" ref="AJ140" si="196">AE140/AI140*100</f>
        <v>114.727514622085</v>
      </c>
      <c r="AK140" s="61">
        <f t="shared" ref="AK140" si="197">AE140/Z140*100</f>
        <v>2.9531510982886795</v>
      </c>
    </row>
    <row r="141" spans="1:37" s="62" customFormat="1">
      <c r="A141" s="63" t="s">
        <v>298</v>
      </c>
      <c r="B141" s="63" t="s">
        <v>296</v>
      </c>
      <c r="C141" s="63" t="s">
        <v>197</v>
      </c>
      <c r="D141" s="63" t="s">
        <v>324</v>
      </c>
      <c r="E141" s="63" t="s">
        <v>82</v>
      </c>
      <c r="F141" s="63">
        <v>90</v>
      </c>
      <c r="G141" s="63" t="s">
        <v>161</v>
      </c>
      <c r="H141" s="63"/>
      <c r="I141" s="63"/>
      <c r="J141" s="63"/>
      <c r="K141" s="63"/>
      <c r="L141" s="63" t="s">
        <v>225</v>
      </c>
      <c r="M141" s="63" t="s">
        <v>221</v>
      </c>
      <c r="N141" s="63" t="s">
        <v>243</v>
      </c>
      <c r="O141" s="63" t="s">
        <v>267</v>
      </c>
      <c r="P141" s="63" t="s">
        <v>256</v>
      </c>
      <c r="Q141" s="63" t="s">
        <v>258</v>
      </c>
      <c r="R141" s="63"/>
      <c r="S141" s="63"/>
      <c r="T141" s="63" t="s">
        <v>205</v>
      </c>
      <c r="U141" s="63" t="s">
        <v>206</v>
      </c>
      <c r="V141" s="63">
        <v>0</v>
      </c>
      <c r="W141" s="63">
        <v>940000</v>
      </c>
      <c r="X141" s="63" t="s">
        <v>111</v>
      </c>
      <c r="Y141" s="63">
        <v>2500000</v>
      </c>
      <c r="Z141" s="63">
        <v>3095270</v>
      </c>
      <c r="AA141" s="67">
        <f>Z141/Y141*100</f>
        <v>123.8108</v>
      </c>
      <c r="AB141" s="63">
        <v>3082046</v>
      </c>
      <c r="AC141" s="67">
        <f>Z141/AB141*100</f>
        <v>100.42906562718402</v>
      </c>
      <c r="AD141" s="63">
        <v>50000</v>
      </c>
      <c r="AE141" s="63">
        <v>91408</v>
      </c>
      <c r="AF141" s="63">
        <v>36620</v>
      </c>
      <c r="AG141" s="63">
        <v>128028</v>
      </c>
      <c r="AH141" s="67">
        <f>AE141/AD141*100</f>
        <v>182.816</v>
      </c>
      <c r="AI141" s="63">
        <v>79674</v>
      </c>
      <c r="AJ141" s="67">
        <f>AE141/AI141*100</f>
        <v>114.727514622085</v>
      </c>
      <c r="AK141" s="67">
        <f>AE141/Z141*100</f>
        <v>2.9531510982886795</v>
      </c>
    </row>
    <row r="142" spans="1:37" s="62" customFormat="1">
      <c r="A142" s="60" t="s">
        <v>298</v>
      </c>
      <c r="B142" s="60" t="s">
        <v>296</v>
      </c>
      <c r="C142" s="60" t="s">
        <v>197</v>
      </c>
      <c r="D142" s="60" t="s">
        <v>324</v>
      </c>
      <c r="E142" s="60" t="s">
        <v>82</v>
      </c>
      <c r="F142" s="60">
        <v>90</v>
      </c>
      <c r="G142" s="60" t="s">
        <v>161</v>
      </c>
      <c r="H142" s="60"/>
      <c r="I142" s="60"/>
      <c r="J142" s="60"/>
      <c r="K142" s="60"/>
      <c r="L142" s="60" t="s">
        <v>224</v>
      </c>
      <c r="M142" s="60" t="s">
        <v>220</v>
      </c>
      <c r="N142" s="60" t="s">
        <v>242</v>
      </c>
      <c r="O142" s="60" t="s">
        <v>266</v>
      </c>
      <c r="P142" s="60" t="s">
        <v>256</v>
      </c>
      <c r="Q142" s="60" t="s">
        <v>258</v>
      </c>
      <c r="R142" s="60"/>
      <c r="S142" s="60"/>
      <c r="T142" s="60"/>
      <c r="U142" s="60"/>
      <c r="V142" s="60">
        <v>1</v>
      </c>
      <c r="W142" s="60"/>
      <c r="X142" s="60" t="s">
        <v>91</v>
      </c>
      <c r="Y142" s="60">
        <f>SUM(Y141:Y141)</f>
        <v>2500000</v>
      </c>
      <c r="Z142" s="60">
        <f>SUM(Z141:Z141)</f>
        <v>3095270</v>
      </c>
      <c r="AA142" s="61">
        <f>Z142/Y142*100</f>
        <v>123.8108</v>
      </c>
      <c r="AB142" s="60">
        <f>SUM(AB141:AB141)</f>
        <v>3082046</v>
      </c>
      <c r="AC142" s="61">
        <f>Z142/AB142*100</f>
        <v>100.42906562718402</v>
      </c>
      <c r="AD142" s="60">
        <f>SUM(AD141:AD141)</f>
        <v>50000</v>
      </c>
      <c r="AE142" s="60">
        <f>SUM(AE141:AE141)</f>
        <v>91408</v>
      </c>
      <c r="AF142" s="60">
        <f>SUM(AF141:AF141)</f>
        <v>36620</v>
      </c>
      <c r="AG142" s="60">
        <f>SUM(AG141:AG141)</f>
        <v>128028</v>
      </c>
      <c r="AH142" s="61">
        <f>AE142/AD142*100</f>
        <v>182.816</v>
      </c>
      <c r="AI142" s="60">
        <f>SUM(AI141:AI141)</f>
        <v>79674</v>
      </c>
      <c r="AJ142" s="61">
        <f>AE142/AI142*100</f>
        <v>114.727514622085</v>
      </c>
      <c r="AK142" s="61">
        <f>AE142/Z142*100</f>
        <v>2.9531510982886795</v>
      </c>
    </row>
    <row r="143" spans="1:37" s="62" customFormat="1">
      <c r="A143" s="63" t="s">
        <v>298</v>
      </c>
      <c r="B143" s="63" t="s">
        <v>296</v>
      </c>
      <c r="C143" s="63" t="s">
        <v>197</v>
      </c>
      <c r="D143" s="63" t="s">
        <v>324</v>
      </c>
      <c r="E143" s="63" t="s">
        <v>82</v>
      </c>
      <c r="F143" s="63">
        <v>90</v>
      </c>
      <c r="G143" s="63" t="s">
        <v>161</v>
      </c>
      <c r="H143" s="63"/>
      <c r="I143" s="63"/>
      <c r="J143" s="63"/>
      <c r="K143" s="63"/>
      <c r="L143" s="63" t="s">
        <v>225</v>
      </c>
      <c r="M143" s="63" t="s">
        <v>221</v>
      </c>
      <c r="N143" s="63" t="s">
        <v>243</v>
      </c>
      <c r="O143" s="63" t="s">
        <v>266</v>
      </c>
      <c r="P143" s="63" t="s">
        <v>256</v>
      </c>
      <c r="Q143" s="63" t="s">
        <v>258</v>
      </c>
      <c r="R143" s="63"/>
      <c r="S143" s="63"/>
      <c r="T143" s="63"/>
      <c r="U143" s="63"/>
      <c r="V143" s="63">
        <v>1</v>
      </c>
      <c r="W143" s="63"/>
      <c r="X143" s="63"/>
      <c r="Y143" s="63">
        <f>Y142</f>
        <v>2500000</v>
      </c>
      <c r="Z143" s="63">
        <f>Z142</f>
        <v>3095270</v>
      </c>
      <c r="AA143" s="67">
        <f t="shared" ref="AA143" si="198">Z143/Y143*100</f>
        <v>123.8108</v>
      </c>
      <c r="AB143" s="63">
        <f>AB142</f>
        <v>3082046</v>
      </c>
      <c r="AC143" s="67">
        <f t="shared" ref="AC143" si="199">Z143/AB143*100</f>
        <v>100.42906562718402</v>
      </c>
      <c r="AD143" s="63">
        <f>AD142</f>
        <v>50000</v>
      </c>
      <c r="AE143" s="63">
        <f>AE142</f>
        <v>91408</v>
      </c>
      <c r="AF143" s="63">
        <f t="shared" ref="AF143" si="200">AF142</f>
        <v>36620</v>
      </c>
      <c r="AG143" s="63">
        <f t="shared" ref="AG143" si="201">AG142</f>
        <v>128028</v>
      </c>
      <c r="AH143" s="67">
        <f t="shared" ref="AH143" si="202">AE143/AD143*100</f>
        <v>182.816</v>
      </c>
      <c r="AI143" s="63">
        <f>AI142</f>
        <v>79674</v>
      </c>
      <c r="AJ143" s="67">
        <f t="shared" ref="AJ143" si="203">AE143/AI143*100</f>
        <v>114.727514622085</v>
      </c>
      <c r="AK143" s="67">
        <f t="shared" ref="AK143:AK144" si="204">AE143/Z143*100</f>
        <v>2.9531510982886795</v>
      </c>
    </row>
    <row r="144" spans="1:37" s="62" customFormat="1">
      <c r="A144" s="60" t="s">
        <v>298</v>
      </c>
      <c r="B144" s="60" t="s">
        <v>296</v>
      </c>
      <c r="C144" s="60" t="s">
        <v>197</v>
      </c>
      <c r="D144" s="60" t="s">
        <v>324</v>
      </c>
      <c r="E144" s="60" t="s">
        <v>82</v>
      </c>
      <c r="F144" s="60">
        <v>90</v>
      </c>
      <c r="G144" s="60" t="s">
        <v>161</v>
      </c>
      <c r="H144" s="60"/>
      <c r="I144" s="60"/>
      <c r="J144" s="60"/>
      <c r="K144" s="60"/>
      <c r="L144" s="60" t="s">
        <v>225</v>
      </c>
      <c r="M144" s="60" t="s">
        <v>221</v>
      </c>
      <c r="N144" s="60" t="s">
        <v>243</v>
      </c>
      <c r="O144" s="60" t="s">
        <v>266</v>
      </c>
      <c r="P144" s="60" t="s">
        <v>259</v>
      </c>
      <c r="Q144" s="60" t="s">
        <v>261</v>
      </c>
      <c r="R144" s="60"/>
      <c r="S144" s="60"/>
      <c r="T144" s="60" t="s">
        <v>205</v>
      </c>
      <c r="U144" s="60" t="s">
        <v>206</v>
      </c>
      <c r="V144" s="60">
        <v>0</v>
      </c>
      <c r="W144" s="60">
        <v>940000</v>
      </c>
      <c r="X144" s="60" t="s">
        <v>111</v>
      </c>
      <c r="Y144" s="60">
        <v>2500000</v>
      </c>
      <c r="Z144" s="60">
        <v>3095270</v>
      </c>
      <c r="AA144" s="61">
        <f>Z144/Y144*100</f>
        <v>123.8108</v>
      </c>
      <c r="AB144" s="60">
        <v>3082046</v>
      </c>
      <c r="AC144" s="61">
        <f>Z144/AB144*100</f>
        <v>100.42906562718402</v>
      </c>
      <c r="AD144" s="60">
        <v>50000</v>
      </c>
      <c r="AE144" s="60">
        <v>91408</v>
      </c>
      <c r="AF144" s="60">
        <v>36620</v>
      </c>
      <c r="AG144" s="60">
        <v>128028</v>
      </c>
      <c r="AH144" s="61">
        <f>AE144/AD144*100</f>
        <v>182.816</v>
      </c>
      <c r="AI144" s="60">
        <v>79674</v>
      </c>
      <c r="AJ144" s="61">
        <f>AE144/AI144*100</f>
        <v>114.727514622085</v>
      </c>
      <c r="AK144" s="61">
        <f t="shared" si="204"/>
        <v>2.9531510982886795</v>
      </c>
    </row>
    <row r="145" spans="1:37" s="62" customFormat="1">
      <c r="A145" s="63" t="s">
        <v>298</v>
      </c>
      <c r="B145" s="63" t="s">
        <v>296</v>
      </c>
      <c r="C145" s="63" t="s">
        <v>197</v>
      </c>
      <c r="D145" s="63" t="s">
        <v>324</v>
      </c>
      <c r="E145" s="63" t="s">
        <v>82</v>
      </c>
      <c r="F145" s="63">
        <v>90</v>
      </c>
      <c r="G145" s="63" t="s">
        <v>161</v>
      </c>
      <c r="H145" s="63"/>
      <c r="I145" s="63"/>
      <c r="J145" s="63"/>
      <c r="K145" s="63"/>
      <c r="L145" s="63" t="s">
        <v>225</v>
      </c>
      <c r="M145" s="63" t="s">
        <v>221</v>
      </c>
      <c r="N145" s="63" t="s">
        <v>243</v>
      </c>
      <c r="O145" s="63" t="s">
        <v>266</v>
      </c>
      <c r="P145" s="63" t="s">
        <v>259</v>
      </c>
      <c r="Q145" s="63" t="s">
        <v>261</v>
      </c>
      <c r="R145" s="63"/>
      <c r="S145" s="63"/>
      <c r="T145" s="63"/>
      <c r="U145" s="63"/>
      <c r="V145" s="63">
        <v>1</v>
      </c>
      <c r="W145" s="63"/>
      <c r="X145" s="63" t="s">
        <v>111</v>
      </c>
      <c r="Y145" s="63">
        <f>SUM(Y144:Y144)</f>
        <v>2500000</v>
      </c>
      <c r="Z145" s="63">
        <f>SUM(Z144:Z144)</f>
        <v>3095270</v>
      </c>
      <c r="AA145" s="67">
        <f>Z145/Y145*100</f>
        <v>123.8108</v>
      </c>
      <c r="AB145" s="63">
        <f>SUM(AB144:AB144)</f>
        <v>3082046</v>
      </c>
      <c r="AC145" s="67">
        <f>Z145/AB145*100</f>
        <v>100.42906562718402</v>
      </c>
      <c r="AD145" s="63">
        <f>SUM(AD144:AD144)</f>
        <v>50000</v>
      </c>
      <c r="AE145" s="63">
        <f>SUM(AE144:AE144)</f>
        <v>91408</v>
      </c>
      <c r="AF145" s="63">
        <f>SUM(AF144:AF144)</f>
        <v>36620</v>
      </c>
      <c r="AG145" s="63">
        <f>SUM(AG144:AG144)</f>
        <v>128028</v>
      </c>
      <c r="AH145" s="67">
        <f>AE145/AD145*100</f>
        <v>182.816</v>
      </c>
      <c r="AI145" s="63">
        <f>SUM(AI144:AI144)</f>
        <v>79674</v>
      </c>
      <c r="AJ145" s="67">
        <f>AE145/AI145*100</f>
        <v>114.727514622085</v>
      </c>
      <c r="AK145" s="67">
        <f>AE145/Z145*100</f>
        <v>2.9531510982886795</v>
      </c>
    </row>
    <row r="146" spans="1:37" s="62" customFormat="1">
      <c r="A146" s="60" t="s">
        <v>298</v>
      </c>
      <c r="B146" s="60" t="s">
        <v>296</v>
      </c>
      <c r="C146" s="60" t="s">
        <v>197</v>
      </c>
      <c r="D146" s="60" t="s">
        <v>324</v>
      </c>
      <c r="E146" s="60" t="s">
        <v>82</v>
      </c>
      <c r="F146" s="60">
        <v>90</v>
      </c>
      <c r="G146" s="60" t="s">
        <v>161</v>
      </c>
      <c r="H146" s="60"/>
      <c r="I146" s="60"/>
      <c r="J146" s="60"/>
      <c r="K146" s="60"/>
      <c r="L146" s="60" t="s">
        <v>224</v>
      </c>
      <c r="M146" s="60" t="s">
        <v>220</v>
      </c>
      <c r="N146" s="60" t="s">
        <v>242</v>
      </c>
      <c r="O146" s="60" t="s">
        <v>266</v>
      </c>
      <c r="P146" s="60" t="s">
        <v>259</v>
      </c>
      <c r="Q146" s="60" t="s">
        <v>261</v>
      </c>
      <c r="R146" s="60"/>
      <c r="S146" s="60"/>
      <c r="T146" s="60"/>
      <c r="U146" s="60"/>
      <c r="V146" s="60">
        <v>1</v>
      </c>
      <c r="W146" s="60"/>
      <c r="X146" s="60"/>
      <c r="Y146" s="60">
        <f>Y145</f>
        <v>2500000</v>
      </c>
      <c r="Z146" s="60">
        <f>Z145</f>
        <v>3095270</v>
      </c>
      <c r="AA146" s="61">
        <f t="shared" ref="AA146" si="205">Z146/Y146*100</f>
        <v>123.8108</v>
      </c>
      <c r="AB146" s="60">
        <f>AB145</f>
        <v>3082046</v>
      </c>
      <c r="AC146" s="61">
        <f t="shared" ref="AC146" si="206">Z146/AB146*100</f>
        <v>100.42906562718402</v>
      </c>
      <c r="AD146" s="60">
        <f>AD145</f>
        <v>50000</v>
      </c>
      <c r="AE146" s="60">
        <f>AE145</f>
        <v>91408</v>
      </c>
      <c r="AF146" s="60">
        <f t="shared" ref="AF146" si="207">AF145</f>
        <v>36620</v>
      </c>
      <c r="AG146" s="60">
        <f t="shared" ref="AG146" si="208">AG145</f>
        <v>128028</v>
      </c>
      <c r="AH146" s="61">
        <f t="shared" ref="AH146" si="209">AE146/AD146*100</f>
        <v>182.816</v>
      </c>
      <c r="AI146" s="60">
        <f>AI145</f>
        <v>79674</v>
      </c>
      <c r="AJ146" s="61">
        <f t="shared" ref="AJ146" si="210">AE146/AI146*100</f>
        <v>114.727514622085</v>
      </c>
      <c r="AK146" s="61">
        <f>AE146/Z146*100</f>
        <v>2.9531510982886795</v>
      </c>
    </row>
    <row r="147" spans="1:37" s="62" customFormat="1">
      <c r="A147" s="63" t="s">
        <v>298</v>
      </c>
      <c r="B147" s="63" t="s">
        <v>296</v>
      </c>
      <c r="C147" s="63" t="s">
        <v>197</v>
      </c>
      <c r="D147" s="63" t="s">
        <v>324</v>
      </c>
      <c r="E147" s="63" t="s">
        <v>82</v>
      </c>
      <c r="F147" s="63">
        <v>90</v>
      </c>
      <c r="G147" s="63" t="s">
        <v>161</v>
      </c>
      <c r="H147" s="63"/>
      <c r="I147" s="63"/>
      <c r="J147" s="63"/>
      <c r="K147" s="63"/>
      <c r="L147" s="63"/>
      <c r="M147" s="63"/>
      <c r="N147" s="63" t="s">
        <v>247</v>
      </c>
      <c r="O147" s="63" t="s">
        <v>245</v>
      </c>
      <c r="P147" s="63" t="s">
        <v>214</v>
      </c>
      <c r="Q147" s="63" t="s">
        <v>262</v>
      </c>
      <c r="R147" s="63" t="s">
        <v>213</v>
      </c>
      <c r="S147" s="63" t="s">
        <v>262</v>
      </c>
      <c r="T147" s="63"/>
      <c r="U147" s="63"/>
      <c r="V147" s="63">
        <v>0</v>
      </c>
      <c r="W147" s="60">
        <v>941000</v>
      </c>
      <c r="X147" s="60" t="s">
        <v>92</v>
      </c>
      <c r="Y147" s="63">
        <v>2500000</v>
      </c>
      <c r="Z147" s="63">
        <v>3095270</v>
      </c>
      <c r="AA147" s="67">
        <f>Z147/Y147*100</f>
        <v>123.8108</v>
      </c>
      <c r="AB147" s="63">
        <v>3082046</v>
      </c>
      <c r="AC147" s="67">
        <f>Z147/AB147*100</f>
        <v>100.42906562718402</v>
      </c>
      <c r="AD147" s="63">
        <v>50000</v>
      </c>
      <c r="AE147" s="63">
        <v>91408</v>
      </c>
      <c r="AF147" s="63">
        <v>36620</v>
      </c>
      <c r="AG147" s="63">
        <v>128028</v>
      </c>
      <c r="AH147" s="67">
        <f>AE147/AD147*100</f>
        <v>182.816</v>
      </c>
      <c r="AI147" s="63">
        <v>79674</v>
      </c>
      <c r="AJ147" s="67">
        <f>AE147/AI147*100</f>
        <v>114.727514622085</v>
      </c>
      <c r="AK147" s="67">
        <f t="shared" ref="AK147" si="211">AE147/Z147*100</f>
        <v>2.9531510982886795</v>
      </c>
    </row>
    <row r="148" spans="1:37" s="62" customFormat="1">
      <c r="A148" s="60" t="s">
        <v>298</v>
      </c>
      <c r="B148" s="60" t="s">
        <v>296</v>
      </c>
      <c r="C148" s="60" t="s">
        <v>197</v>
      </c>
      <c r="D148" s="60" t="s">
        <v>324</v>
      </c>
      <c r="E148" s="60" t="s">
        <v>82</v>
      </c>
      <c r="F148" s="60">
        <v>90</v>
      </c>
      <c r="G148" s="60" t="s">
        <v>161</v>
      </c>
      <c r="H148" s="60"/>
      <c r="I148" s="60"/>
      <c r="J148" s="60"/>
      <c r="K148" s="60"/>
      <c r="L148" s="60"/>
      <c r="M148" s="60"/>
      <c r="N148" s="60" t="s">
        <v>246</v>
      </c>
      <c r="O148" s="60" t="s">
        <v>244</v>
      </c>
      <c r="P148" s="60" t="s">
        <v>213</v>
      </c>
      <c r="Q148" s="60" t="s">
        <v>262</v>
      </c>
      <c r="R148" s="60" t="s">
        <v>213</v>
      </c>
      <c r="S148" s="60" t="s">
        <v>262</v>
      </c>
      <c r="T148" s="60"/>
      <c r="U148" s="60"/>
      <c r="V148" s="60">
        <v>1</v>
      </c>
      <c r="W148" s="63"/>
      <c r="X148" s="63" t="s">
        <v>207</v>
      </c>
      <c r="Y148" s="60">
        <f>SUM(Y147:Y147)</f>
        <v>2500000</v>
      </c>
      <c r="Z148" s="60">
        <f>SUM(Z147:Z147)</f>
        <v>3095270</v>
      </c>
      <c r="AA148" s="61">
        <f>Z148/Y148*100</f>
        <v>123.8108</v>
      </c>
      <c r="AB148" s="60">
        <f>SUM(AB147:AB147)</f>
        <v>3082046</v>
      </c>
      <c r="AC148" s="61">
        <f>Z148/AB148*100</f>
        <v>100.42906562718402</v>
      </c>
      <c r="AD148" s="60">
        <f>SUM(AD147:AD147)</f>
        <v>50000</v>
      </c>
      <c r="AE148" s="60">
        <f>SUM(AE147:AE147)</f>
        <v>91408</v>
      </c>
      <c r="AF148" s="60">
        <f>SUM(AF147:AF147)</f>
        <v>36620</v>
      </c>
      <c r="AG148" s="60">
        <f>SUM(AG147:AG147)</f>
        <v>128028</v>
      </c>
      <c r="AH148" s="61">
        <f>AE148/AD148*100</f>
        <v>182.816</v>
      </c>
      <c r="AI148" s="60">
        <f>SUM(AI147:AI147)</f>
        <v>79674</v>
      </c>
      <c r="AJ148" s="61">
        <f>AE148/AI148*100</f>
        <v>114.727514622085</v>
      </c>
      <c r="AK148" s="61">
        <f>AE148/Z148*100</f>
        <v>2.9531510982886795</v>
      </c>
    </row>
    <row r="149" spans="1:37" s="62" customFormat="1">
      <c r="A149" s="63" t="s">
        <v>298</v>
      </c>
      <c r="B149" s="63" t="s">
        <v>296</v>
      </c>
      <c r="C149" s="63" t="s">
        <v>197</v>
      </c>
      <c r="D149" s="63" t="s">
        <v>324</v>
      </c>
      <c r="E149" s="63" t="s">
        <v>82</v>
      </c>
      <c r="F149" s="63">
        <v>90</v>
      </c>
      <c r="G149" s="63" t="s">
        <v>161</v>
      </c>
      <c r="H149" s="63"/>
      <c r="I149" s="63"/>
      <c r="J149" s="63"/>
      <c r="K149" s="63"/>
      <c r="L149" s="63"/>
      <c r="M149" s="63"/>
      <c r="N149" s="63" t="s">
        <v>247</v>
      </c>
      <c r="O149" s="63" t="s">
        <v>244</v>
      </c>
      <c r="P149" s="63" t="s">
        <v>213</v>
      </c>
      <c r="Q149" s="63" t="s">
        <v>262</v>
      </c>
      <c r="R149" s="63" t="s">
        <v>213</v>
      </c>
      <c r="S149" s="63" t="s">
        <v>262</v>
      </c>
      <c r="T149" s="63"/>
      <c r="U149" s="63"/>
      <c r="V149" s="63">
        <v>1</v>
      </c>
      <c r="W149" s="63"/>
      <c r="X149" s="63"/>
      <c r="Y149" s="63">
        <f>Y148</f>
        <v>2500000</v>
      </c>
      <c r="Z149" s="63">
        <f>Z148</f>
        <v>3095270</v>
      </c>
      <c r="AA149" s="67">
        <f t="shared" ref="AA149" si="212">Z149/Y149*100</f>
        <v>123.8108</v>
      </c>
      <c r="AB149" s="63">
        <f>AB148</f>
        <v>3082046</v>
      </c>
      <c r="AC149" s="67">
        <f t="shared" ref="AC149" si="213">Z149/AB149*100</f>
        <v>100.42906562718402</v>
      </c>
      <c r="AD149" s="63">
        <f>AD148</f>
        <v>50000</v>
      </c>
      <c r="AE149" s="63">
        <f>AE148</f>
        <v>91408</v>
      </c>
      <c r="AF149" s="63">
        <f t="shared" ref="AF149" si="214">AF148</f>
        <v>36620</v>
      </c>
      <c r="AG149" s="63">
        <f t="shared" ref="AG149" si="215">AG148</f>
        <v>128028</v>
      </c>
      <c r="AH149" s="67">
        <f t="shared" ref="AH149" si="216">AE149/AD149*100</f>
        <v>182.816</v>
      </c>
      <c r="AI149" s="63">
        <f>AI148</f>
        <v>79674</v>
      </c>
      <c r="AJ149" s="67">
        <f t="shared" ref="AJ149" si="217">AE149/AI149*100</f>
        <v>114.727514622085</v>
      </c>
      <c r="AK149" s="67">
        <f t="shared" ref="AK149:AK150" si="218">AE149/Z149*100</f>
        <v>2.9531510982886795</v>
      </c>
    </row>
    <row r="150" spans="1:37" s="62" customFormat="1">
      <c r="A150" s="60" t="s">
        <v>298</v>
      </c>
      <c r="B150" s="60" t="s">
        <v>296</v>
      </c>
      <c r="C150" s="60" t="s">
        <v>197</v>
      </c>
      <c r="D150" s="60" t="s">
        <v>324</v>
      </c>
      <c r="E150" s="60" t="s">
        <v>82</v>
      </c>
      <c r="F150" s="60">
        <v>90</v>
      </c>
      <c r="G150" s="60" t="s">
        <v>161</v>
      </c>
      <c r="H150" s="60"/>
      <c r="I150" s="60"/>
      <c r="J150" s="60"/>
      <c r="K150" s="60"/>
      <c r="L150" s="60"/>
      <c r="M150" s="60"/>
      <c r="N150" s="60" t="s">
        <v>246</v>
      </c>
      <c r="O150" s="60" t="s">
        <v>244</v>
      </c>
      <c r="P150" s="59" t="s">
        <v>198</v>
      </c>
      <c r="Q150" s="60" t="s">
        <v>263</v>
      </c>
      <c r="R150" s="60" t="s">
        <v>197</v>
      </c>
      <c r="S150" s="60" t="s">
        <v>263</v>
      </c>
      <c r="T150" s="60"/>
      <c r="U150" s="60"/>
      <c r="V150" s="60">
        <v>0</v>
      </c>
      <c r="W150" s="60">
        <v>941000</v>
      </c>
      <c r="X150" s="60" t="s">
        <v>92</v>
      </c>
      <c r="Y150" s="60">
        <v>2500000</v>
      </c>
      <c r="Z150" s="60">
        <v>3095270</v>
      </c>
      <c r="AA150" s="61">
        <f>Z150/Y150*100</f>
        <v>123.8108</v>
      </c>
      <c r="AB150" s="60">
        <v>3082046</v>
      </c>
      <c r="AC150" s="61">
        <f>Z150/AB150*100</f>
        <v>100.42906562718402</v>
      </c>
      <c r="AD150" s="60">
        <v>50000</v>
      </c>
      <c r="AE150" s="60">
        <v>91408</v>
      </c>
      <c r="AF150" s="60">
        <v>36620</v>
      </c>
      <c r="AG150" s="60">
        <v>128028</v>
      </c>
      <c r="AH150" s="61">
        <f>AE150/AD150*100</f>
        <v>182.816</v>
      </c>
      <c r="AI150" s="60">
        <v>79674</v>
      </c>
      <c r="AJ150" s="61">
        <f>AE150/AI150*100</f>
        <v>114.727514622085</v>
      </c>
      <c r="AK150" s="61">
        <f t="shared" si="218"/>
        <v>2.9531510982886795</v>
      </c>
    </row>
    <row r="151" spans="1:37" s="62" customFormat="1">
      <c r="A151" s="63" t="s">
        <v>298</v>
      </c>
      <c r="B151" s="63" t="s">
        <v>296</v>
      </c>
      <c r="C151" s="63" t="s">
        <v>197</v>
      </c>
      <c r="D151" s="63" t="s">
        <v>324</v>
      </c>
      <c r="E151" s="63" t="s">
        <v>82</v>
      </c>
      <c r="F151" s="63">
        <v>90</v>
      </c>
      <c r="G151" s="63" t="s">
        <v>161</v>
      </c>
      <c r="H151" s="63"/>
      <c r="I151" s="63"/>
      <c r="J151" s="63"/>
      <c r="K151" s="63"/>
      <c r="L151" s="63"/>
      <c r="M151" s="63"/>
      <c r="N151" s="63" t="s">
        <v>247</v>
      </c>
      <c r="O151" s="63" t="s">
        <v>244</v>
      </c>
      <c r="P151" s="63" t="s">
        <v>197</v>
      </c>
      <c r="Q151" s="63" t="s">
        <v>263</v>
      </c>
      <c r="R151" s="63" t="s">
        <v>197</v>
      </c>
      <c r="S151" s="63" t="s">
        <v>263</v>
      </c>
      <c r="T151" s="63"/>
      <c r="U151" s="63"/>
      <c r="V151" s="63">
        <v>1</v>
      </c>
      <c r="W151" s="63"/>
      <c r="X151" s="63" t="s">
        <v>207</v>
      </c>
      <c r="Y151" s="63">
        <f>SUM(Y150:Y150)</f>
        <v>2500000</v>
      </c>
      <c r="Z151" s="63">
        <f>SUM(Z150:Z150)</f>
        <v>3095270</v>
      </c>
      <c r="AA151" s="67">
        <f>Z151/Y151*100</f>
        <v>123.8108</v>
      </c>
      <c r="AB151" s="63">
        <f>SUM(AB150:AB150)</f>
        <v>3082046</v>
      </c>
      <c r="AC151" s="67">
        <f>Z151/AB151*100</f>
        <v>100.42906562718402</v>
      </c>
      <c r="AD151" s="63">
        <f>SUM(AD150:AD150)</f>
        <v>50000</v>
      </c>
      <c r="AE151" s="63">
        <f>SUM(AE150:AE150)</f>
        <v>91408</v>
      </c>
      <c r="AF151" s="63">
        <f>SUM(AF150:AF150)</f>
        <v>36620</v>
      </c>
      <c r="AG151" s="63">
        <f>SUM(AG150:AG150)</f>
        <v>128028</v>
      </c>
      <c r="AH151" s="67">
        <f>AE151/AD151*100</f>
        <v>182.816</v>
      </c>
      <c r="AI151" s="63">
        <f>SUM(AI150:AI150)</f>
        <v>79674</v>
      </c>
      <c r="AJ151" s="67">
        <f>AE151/AI151*100</f>
        <v>114.727514622085</v>
      </c>
      <c r="AK151" s="67">
        <f>AE151/Z151*100</f>
        <v>2.9531510982886795</v>
      </c>
    </row>
    <row r="152" spans="1:37" s="62" customFormat="1">
      <c r="A152" s="60" t="s">
        <v>298</v>
      </c>
      <c r="B152" s="60" t="s">
        <v>296</v>
      </c>
      <c r="C152" s="60" t="s">
        <v>197</v>
      </c>
      <c r="D152" s="60" t="s">
        <v>324</v>
      </c>
      <c r="E152" s="60" t="s">
        <v>82</v>
      </c>
      <c r="F152" s="60">
        <v>90</v>
      </c>
      <c r="G152" s="60" t="s">
        <v>161</v>
      </c>
      <c r="H152" s="60"/>
      <c r="I152" s="60"/>
      <c r="J152" s="60"/>
      <c r="K152" s="60"/>
      <c r="L152" s="60"/>
      <c r="M152" s="60"/>
      <c r="N152" s="60" t="s">
        <v>246</v>
      </c>
      <c r="O152" s="60" t="s">
        <v>244</v>
      </c>
      <c r="P152" s="60" t="s">
        <v>197</v>
      </c>
      <c r="Q152" s="60" t="s">
        <v>263</v>
      </c>
      <c r="R152" s="60" t="s">
        <v>197</v>
      </c>
      <c r="S152" s="60" t="s">
        <v>263</v>
      </c>
      <c r="T152" s="60"/>
      <c r="U152" s="60"/>
      <c r="V152" s="60">
        <v>1</v>
      </c>
      <c r="W152" s="60"/>
      <c r="X152" s="60"/>
      <c r="Y152" s="60">
        <f>Y151</f>
        <v>2500000</v>
      </c>
      <c r="Z152" s="60">
        <f>Z151</f>
        <v>3095270</v>
      </c>
      <c r="AA152" s="61">
        <f t="shared" ref="AA152" si="219">Z152/Y152*100</f>
        <v>123.8108</v>
      </c>
      <c r="AB152" s="60">
        <f>AB151</f>
        <v>3082046</v>
      </c>
      <c r="AC152" s="61">
        <f t="shared" ref="AC152" si="220">Z152/AB152*100</f>
        <v>100.42906562718402</v>
      </c>
      <c r="AD152" s="60">
        <f>AD151</f>
        <v>50000</v>
      </c>
      <c r="AE152" s="60">
        <f>AE151</f>
        <v>91408</v>
      </c>
      <c r="AF152" s="60">
        <f t="shared" ref="AF152" si="221">AF151</f>
        <v>36620</v>
      </c>
      <c r="AG152" s="60">
        <f t="shared" ref="AG152" si="222">AG151</f>
        <v>128028</v>
      </c>
      <c r="AH152" s="61">
        <f t="shared" ref="AH152" si="223">AE152/AD152*100</f>
        <v>182.816</v>
      </c>
      <c r="AI152" s="60">
        <f>AI151</f>
        <v>79674</v>
      </c>
      <c r="AJ152" s="61">
        <f t="shared" ref="AJ152" si="224">AE152/AI152*100</f>
        <v>114.727514622085</v>
      </c>
      <c r="AK152" s="61">
        <f t="shared" ref="AK152" si="225">AE152/Z152*100</f>
        <v>2.9531510982886795</v>
      </c>
    </row>
    <row r="160" spans="1:37" s="58" customFormat="1" ht="33.75" customHeight="1">
      <c r="A160" s="35" t="s">
        <v>125</v>
      </c>
      <c r="B160" s="35" t="s">
        <v>126</v>
      </c>
      <c r="C160" s="36" t="s">
        <v>192</v>
      </c>
      <c r="D160" s="36" t="s">
        <v>193</v>
      </c>
      <c r="E160" s="36" t="s">
        <v>127</v>
      </c>
      <c r="F160" s="35" t="s">
        <v>53</v>
      </c>
      <c r="G160" s="35" t="s">
        <v>128</v>
      </c>
      <c r="H160" s="37" t="s">
        <v>129</v>
      </c>
      <c r="I160" s="37" t="s">
        <v>130</v>
      </c>
      <c r="J160" s="37" t="s">
        <v>131</v>
      </c>
      <c r="K160" s="37" t="s">
        <v>132</v>
      </c>
      <c r="L160" s="37" t="s">
        <v>166</v>
      </c>
      <c r="M160" s="37" t="s">
        <v>167</v>
      </c>
      <c r="N160" s="37" t="s">
        <v>270</v>
      </c>
      <c r="O160" s="37" t="s">
        <v>271</v>
      </c>
      <c r="P160" s="37" t="s">
        <v>133</v>
      </c>
      <c r="Q160" s="37" t="s">
        <v>134</v>
      </c>
      <c r="R160" s="37" t="s">
        <v>200</v>
      </c>
      <c r="S160" s="37" t="s">
        <v>201</v>
      </c>
      <c r="T160" s="37" t="s">
        <v>99</v>
      </c>
      <c r="U160" s="37" t="s">
        <v>101</v>
      </c>
      <c r="V160" s="37" t="s">
        <v>135</v>
      </c>
      <c r="W160" s="37" t="s">
        <v>136</v>
      </c>
      <c r="X160" s="37" t="s">
        <v>137</v>
      </c>
      <c r="Y160" s="37" t="s">
        <v>138</v>
      </c>
      <c r="Z160" s="37" t="s">
        <v>139</v>
      </c>
      <c r="AA160" s="37" t="s">
        <v>140</v>
      </c>
      <c r="AB160" s="37" t="s">
        <v>141</v>
      </c>
      <c r="AC160" s="37" t="s">
        <v>142</v>
      </c>
      <c r="AD160" s="37" t="s">
        <v>143</v>
      </c>
      <c r="AE160" s="37" t="s">
        <v>144</v>
      </c>
      <c r="AF160" s="37" t="s">
        <v>145</v>
      </c>
      <c r="AG160" s="37" t="s">
        <v>146</v>
      </c>
      <c r="AH160" s="37" t="s">
        <v>147</v>
      </c>
      <c r="AI160" s="57" t="s">
        <v>148</v>
      </c>
      <c r="AJ160" s="57" t="s">
        <v>149</v>
      </c>
      <c r="AK160" s="57" t="s">
        <v>104</v>
      </c>
    </row>
    <row r="161" spans="1:37" s="62" customFormat="1">
      <c r="A161" s="60" t="s">
        <v>298</v>
      </c>
      <c r="B161" s="60" t="s">
        <v>296</v>
      </c>
      <c r="C161" s="60" t="s">
        <v>197</v>
      </c>
      <c r="D161" s="60" t="s">
        <v>324</v>
      </c>
      <c r="E161" s="60" t="s">
        <v>82</v>
      </c>
      <c r="F161" s="60"/>
      <c r="G161" s="60"/>
      <c r="H161" s="60"/>
      <c r="I161" s="60"/>
      <c r="J161" s="60"/>
      <c r="K161" s="60"/>
      <c r="L161" s="60" t="s">
        <v>217</v>
      </c>
      <c r="M161" s="60" t="s">
        <v>215</v>
      </c>
      <c r="N161" s="60" t="s">
        <v>241</v>
      </c>
      <c r="O161" s="60" t="s">
        <v>233</v>
      </c>
      <c r="P161" s="60"/>
      <c r="Q161" s="60"/>
      <c r="R161" s="60"/>
      <c r="S161" s="60"/>
      <c r="T161" s="60" t="s">
        <v>205</v>
      </c>
      <c r="U161" s="60" t="s">
        <v>206</v>
      </c>
      <c r="V161" s="60">
        <v>0</v>
      </c>
      <c r="W161" s="60">
        <v>940000</v>
      </c>
      <c r="X161" s="60" t="s">
        <v>111</v>
      </c>
      <c r="Y161" s="60">
        <v>2500000</v>
      </c>
      <c r="Z161" s="60">
        <v>3095270</v>
      </c>
      <c r="AA161" s="61">
        <f>Z161/Y161*100</f>
        <v>123.8108</v>
      </c>
      <c r="AB161" s="60">
        <v>3082046</v>
      </c>
      <c r="AC161" s="61">
        <f>Z161/AB161*100</f>
        <v>100.42906562718402</v>
      </c>
      <c r="AD161" s="60">
        <v>50000</v>
      </c>
      <c r="AE161" s="60">
        <v>91408</v>
      </c>
      <c r="AF161" s="60">
        <v>36620</v>
      </c>
      <c r="AG161" s="60">
        <v>128028</v>
      </c>
      <c r="AH161" s="61">
        <f>AE161/AD161*100</f>
        <v>182.816</v>
      </c>
      <c r="AI161" s="60">
        <v>79674</v>
      </c>
      <c r="AJ161" s="61">
        <f>AE161/AI161*100</f>
        <v>114.727514622085</v>
      </c>
      <c r="AK161" s="61">
        <f t="shared" ref="AK161" si="226">AE161/Z161*100</f>
        <v>2.9531510982886795</v>
      </c>
    </row>
    <row r="162" spans="1:37" s="62" customFormat="1">
      <c r="A162" s="63" t="s">
        <v>298</v>
      </c>
      <c r="B162" s="63" t="s">
        <v>296</v>
      </c>
      <c r="C162" s="63" t="s">
        <v>197</v>
      </c>
      <c r="D162" s="63" t="s">
        <v>324</v>
      </c>
      <c r="E162" s="63" t="s">
        <v>82</v>
      </c>
      <c r="F162" s="63"/>
      <c r="G162" s="63"/>
      <c r="H162" s="63"/>
      <c r="I162" s="63"/>
      <c r="J162" s="63"/>
      <c r="K162" s="63"/>
      <c r="L162" s="63" t="s">
        <v>95</v>
      </c>
      <c r="M162" s="63" t="s">
        <v>216</v>
      </c>
      <c r="N162" s="63" t="s">
        <v>241</v>
      </c>
      <c r="O162" s="63" t="s">
        <v>233</v>
      </c>
      <c r="P162" s="63"/>
      <c r="Q162" s="63"/>
      <c r="R162" s="63"/>
      <c r="S162" s="63"/>
      <c r="T162" s="63"/>
      <c r="U162" s="63"/>
      <c r="V162" s="63">
        <v>1</v>
      </c>
      <c r="W162" s="63"/>
      <c r="X162" s="63" t="s">
        <v>111</v>
      </c>
      <c r="Y162" s="63">
        <f>SUM(Y161:Y161)</f>
        <v>2500000</v>
      </c>
      <c r="Z162" s="63">
        <f>SUM(Z161:Z161)</f>
        <v>3095270</v>
      </c>
      <c r="AA162" s="67">
        <f>Z162/Y162*100</f>
        <v>123.8108</v>
      </c>
      <c r="AB162" s="63">
        <f>SUM(AB161:AB161)</f>
        <v>3082046</v>
      </c>
      <c r="AC162" s="67">
        <f>Z162/AB162*100</f>
        <v>100.42906562718402</v>
      </c>
      <c r="AD162" s="63">
        <f>SUM(AD161:AD161)</f>
        <v>50000</v>
      </c>
      <c r="AE162" s="63">
        <f>SUM(AE161:AE161)</f>
        <v>91408</v>
      </c>
      <c r="AF162" s="63">
        <f>SUM(AF161:AF161)</f>
        <v>36620</v>
      </c>
      <c r="AG162" s="63">
        <f>SUM(AG161:AG161)</f>
        <v>128028</v>
      </c>
      <c r="AH162" s="67">
        <f>AE162/AD162*100</f>
        <v>182.816</v>
      </c>
      <c r="AI162" s="63">
        <f>SUM(AI161:AI161)</f>
        <v>79674</v>
      </c>
      <c r="AJ162" s="67">
        <f>AE162/AI162*100</f>
        <v>114.727514622085</v>
      </c>
      <c r="AK162" s="67">
        <f>AE162/Z162*100</f>
        <v>2.9531510982886795</v>
      </c>
    </row>
    <row r="163" spans="1:37" s="62" customFormat="1">
      <c r="A163" s="60" t="s">
        <v>298</v>
      </c>
      <c r="B163" s="60" t="s">
        <v>296</v>
      </c>
      <c r="C163" s="60" t="s">
        <v>197</v>
      </c>
      <c r="D163" s="60" t="s">
        <v>324</v>
      </c>
      <c r="E163" s="60" t="s">
        <v>82</v>
      </c>
      <c r="F163" s="60"/>
      <c r="G163" s="60"/>
      <c r="H163" s="60"/>
      <c r="I163" s="60"/>
      <c r="J163" s="60"/>
      <c r="K163" s="60"/>
      <c r="L163" s="60" t="s">
        <v>217</v>
      </c>
      <c r="M163" s="60" t="s">
        <v>215</v>
      </c>
      <c r="N163" s="60" t="s">
        <v>240</v>
      </c>
      <c r="O163" s="60" t="s">
        <v>232</v>
      </c>
      <c r="P163" s="60"/>
      <c r="Q163" s="60"/>
      <c r="R163" s="60"/>
      <c r="S163" s="60"/>
      <c r="T163" s="60"/>
      <c r="U163" s="60"/>
      <c r="V163" s="60">
        <v>1</v>
      </c>
      <c r="W163" s="60"/>
      <c r="X163" s="60"/>
      <c r="Y163" s="60">
        <f>Y162</f>
        <v>2500000</v>
      </c>
      <c r="Z163" s="60">
        <f>Z162</f>
        <v>3095270</v>
      </c>
      <c r="AA163" s="61">
        <f>Z163/Y163*100</f>
        <v>123.8108</v>
      </c>
      <c r="AB163" s="60">
        <f>AB162</f>
        <v>3082046</v>
      </c>
      <c r="AC163" s="61">
        <f>Z163/AB163*100</f>
        <v>100.42906562718402</v>
      </c>
      <c r="AD163" s="60">
        <f>AD162</f>
        <v>50000</v>
      </c>
      <c r="AE163" s="60">
        <f>AE162</f>
        <v>91408</v>
      </c>
      <c r="AF163" s="60">
        <f>AF162</f>
        <v>36620</v>
      </c>
      <c r="AG163" s="60">
        <f>AG162</f>
        <v>128028</v>
      </c>
      <c r="AH163" s="61">
        <f>AE163/AD163*100</f>
        <v>182.816</v>
      </c>
      <c r="AI163" s="60">
        <f>AI162</f>
        <v>79674</v>
      </c>
      <c r="AJ163" s="61">
        <f>AE163/AI163*100</f>
        <v>114.727514622085</v>
      </c>
      <c r="AK163" s="61">
        <f t="shared" ref="AK163" si="227">AE163/Z163*100</f>
        <v>2.9531510982886795</v>
      </c>
    </row>
    <row r="171" spans="1:37" s="58" customFormat="1" ht="33.75" customHeight="1">
      <c r="A171" s="35" t="s">
        <v>125</v>
      </c>
      <c r="B171" s="35" t="s">
        <v>126</v>
      </c>
      <c r="C171" s="36" t="s">
        <v>192</v>
      </c>
      <c r="D171" s="36" t="s">
        <v>193</v>
      </c>
      <c r="E171" s="36" t="s">
        <v>127</v>
      </c>
      <c r="F171" s="35" t="s">
        <v>53</v>
      </c>
      <c r="G171" s="35" t="s">
        <v>128</v>
      </c>
      <c r="H171" s="37" t="s">
        <v>129</v>
      </c>
      <c r="I171" s="37" t="s">
        <v>130</v>
      </c>
      <c r="J171" s="37" t="s">
        <v>131</v>
      </c>
      <c r="K171" s="37" t="s">
        <v>132</v>
      </c>
      <c r="L171" s="37" t="s">
        <v>166</v>
      </c>
      <c r="M171" s="37" t="s">
        <v>167</v>
      </c>
      <c r="N171" s="37" t="s">
        <v>270</v>
      </c>
      <c r="O171" s="37" t="s">
        <v>271</v>
      </c>
      <c r="P171" s="37" t="s">
        <v>133</v>
      </c>
      <c r="Q171" s="37" t="s">
        <v>134</v>
      </c>
      <c r="R171" s="37" t="s">
        <v>200</v>
      </c>
      <c r="S171" s="37" t="s">
        <v>201</v>
      </c>
      <c r="T171" s="37" t="s">
        <v>99</v>
      </c>
      <c r="U171" s="37" t="s">
        <v>101</v>
      </c>
      <c r="V171" s="37" t="s">
        <v>135</v>
      </c>
      <c r="W171" s="37" t="s">
        <v>136</v>
      </c>
      <c r="X171" s="37" t="s">
        <v>137</v>
      </c>
      <c r="Y171" s="37" t="s">
        <v>138</v>
      </c>
      <c r="Z171" s="37" t="s">
        <v>139</v>
      </c>
      <c r="AA171" s="37" t="s">
        <v>140</v>
      </c>
      <c r="AB171" s="37" t="s">
        <v>141</v>
      </c>
      <c r="AC171" s="37" t="s">
        <v>142</v>
      </c>
      <c r="AD171" s="37" t="s">
        <v>143</v>
      </c>
      <c r="AE171" s="37" t="s">
        <v>144</v>
      </c>
      <c r="AF171" s="37" t="s">
        <v>145</v>
      </c>
      <c r="AG171" s="37" t="s">
        <v>146</v>
      </c>
      <c r="AH171" s="37" t="s">
        <v>147</v>
      </c>
      <c r="AI171" s="57" t="s">
        <v>148</v>
      </c>
      <c r="AJ171" s="57" t="s">
        <v>149</v>
      </c>
      <c r="AK171" s="57" t="s">
        <v>104</v>
      </c>
    </row>
    <row r="172" spans="1:37" s="62" customFormat="1">
      <c r="A172" s="60" t="s">
        <v>298</v>
      </c>
      <c r="B172" s="60" t="s">
        <v>296</v>
      </c>
      <c r="C172" s="60" t="s">
        <v>197</v>
      </c>
      <c r="D172" s="60" t="s">
        <v>324</v>
      </c>
      <c r="E172" s="60" t="s">
        <v>82</v>
      </c>
      <c r="F172" s="60">
        <v>90</v>
      </c>
      <c r="G172" s="60" t="s">
        <v>161</v>
      </c>
      <c r="H172" s="60"/>
      <c r="I172" s="60"/>
      <c r="J172" s="60"/>
      <c r="K172" s="60"/>
      <c r="L172" s="60" t="s">
        <v>217</v>
      </c>
      <c r="M172" s="60" t="s">
        <v>215</v>
      </c>
      <c r="N172" s="60" t="s">
        <v>241</v>
      </c>
      <c r="O172" s="60" t="s">
        <v>233</v>
      </c>
      <c r="P172" s="60"/>
      <c r="Q172" s="60"/>
      <c r="R172" s="60"/>
      <c r="S172" s="60"/>
      <c r="T172" s="60" t="s">
        <v>205</v>
      </c>
      <c r="U172" s="60" t="s">
        <v>206</v>
      </c>
      <c r="V172" s="60">
        <v>0</v>
      </c>
      <c r="W172" s="60">
        <v>940000</v>
      </c>
      <c r="X172" s="60" t="s">
        <v>111</v>
      </c>
      <c r="Y172" s="60">
        <v>2500000</v>
      </c>
      <c r="Z172" s="60">
        <v>3095270</v>
      </c>
      <c r="AA172" s="61">
        <f>Z172/Y172*100</f>
        <v>123.8108</v>
      </c>
      <c r="AB172" s="60">
        <v>3082046</v>
      </c>
      <c r="AC172" s="61">
        <f>Z172/AB172*100</f>
        <v>100.42906562718402</v>
      </c>
      <c r="AD172" s="60">
        <v>50000</v>
      </c>
      <c r="AE172" s="60">
        <v>91408</v>
      </c>
      <c r="AF172" s="60">
        <v>36620</v>
      </c>
      <c r="AG172" s="60">
        <v>128028</v>
      </c>
      <c r="AH172" s="61">
        <f>AE172/AD172*100</f>
        <v>182.816</v>
      </c>
      <c r="AI172" s="60">
        <v>79674</v>
      </c>
      <c r="AJ172" s="61">
        <f>AE172/AI172*100</f>
        <v>114.727514622085</v>
      </c>
      <c r="AK172" s="61">
        <f t="shared" ref="AK172" si="228">AE172/Z172*100</f>
        <v>2.9531510982886795</v>
      </c>
    </row>
    <row r="173" spans="1:37" s="62" customFormat="1">
      <c r="A173" s="63" t="s">
        <v>298</v>
      </c>
      <c r="B173" s="63" t="s">
        <v>296</v>
      </c>
      <c r="C173" s="63" t="s">
        <v>197</v>
      </c>
      <c r="D173" s="63" t="s">
        <v>324</v>
      </c>
      <c r="E173" s="63" t="s">
        <v>82</v>
      </c>
      <c r="F173" s="63">
        <v>90</v>
      </c>
      <c r="G173" s="63" t="s">
        <v>161</v>
      </c>
      <c r="H173" s="63"/>
      <c r="I173" s="63"/>
      <c r="J173" s="63"/>
      <c r="K173" s="63"/>
      <c r="L173" s="63" t="s">
        <v>95</v>
      </c>
      <c r="M173" s="63" t="s">
        <v>216</v>
      </c>
      <c r="N173" s="63" t="s">
        <v>241</v>
      </c>
      <c r="O173" s="63" t="s">
        <v>233</v>
      </c>
      <c r="P173" s="63"/>
      <c r="Q173" s="63"/>
      <c r="R173" s="63"/>
      <c r="S173" s="63"/>
      <c r="T173" s="63"/>
      <c r="U173" s="63"/>
      <c r="V173" s="63">
        <v>1</v>
      </c>
      <c r="W173" s="63"/>
      <c r="X173" s="63" t="s">
        <v>111</v>
      </c>
      <c r="Y173" s="63">
        <f>SUM(Y172:Y172)</f>
        <v>2500000</v>
      </c>
      <c r="Z173" s="63">
        <f>SUM(Z172:Z172)</f>
        <v>3095270</v>
      </c>
      <c r="AA173" s="67">
        <f>Z173/Y173*100</f>
        <v>123.8108</v>
      </c>
      <c r="AB173" s="63">
        <f>SUM(AB172:AB172)</f>
        <v>3082046</v>
      </c>
      <c r="AC173" s="67">
        <f>Z173/AB173*100</f>
        <v>100.42906562718402</v>
      </c>
      <c r="AD173" s="63">
        <f>SUM(AD172:AD172)</f>
        <v>50000</v>
      </c>
      <c r="AE173" s="63">
        <f>SUM(AE172:AE172)</f>
        <v>91408</v>
      </c>
      <c r="AF173" s="63">
        <f>SUM(AF172:AF172)</f>
        <v>36620</v>
      </c>
      <c r="AG173" s="63">
        <f>SUM(AG172:AG172)</f>
        <v>128028</v>
      </c>
      <c r="AH173" s="67">
        <f>AE173/AD173*100</f>
        <v>182.816</v>
      </c>
      <c r="AI173" s="63">
        <f>SUM(AI172:AI172)</f>
        <v>79674</v>
      </c>
      <c r="AJ173" s="67">
        <f>AE173/AI173*100</f>
        <v>114.727514622085</v>
      </c>
      <c r="AK173" s="67">
        <f>AE173/Z173*100</f>
        <v>2.9531510982886795</v>
      </c>
    </row>
    <row r="174" spans="1:37" s="62" customFormat="1">
      <c r="A174" s="60" t="s">
        <v>298</v>
      </c>
      <c r="B174" s="60" t="s">
        <v>296</v>
      </c>
      <c r="C174" s="60" t="s">
        <v>197</v>
      </c>
      <c r="D174" s="60" t="s">
        <v>324</v>
      </c>
      <c r="E174" s="60" t="s">
        <v>82</v>
      </c>
      <c r="F174" s="60">
        <v>90</v>
      </c>
      <c r="G174" s="60" t="s">
        <v>161</v>
      </c>
      <c r="H174" s="60"/>
      <c r="I174" s="60"/>
      <c r="J174" s="60"/>
      <c r="K174" s="60"/>
      <c r="L174" s="60" t="s">
        <v>217</v>
      </c>
      <c r="M174" s="60" t="s">
        <v>215</v>
      </c>
      <c r="N174" s="60" t="s">
        <v>240</v>
      </c>
      <c r="O174" s="60" t="s">
        <v>232</v>
      </c>
      <c r="P174" s="60"/>
      <c r="Q174" s="60"/>
      <c r="R174" s="60"/>
      <c r="S174" s="60"/>
      <c r="T174" s="60"/>
      <c r="U174" s="60"/>
      <c r="V174" s="60">
        <v>1</v>
      </c>
      <c r="W174" s="60"/>
      <c r="X174" s="60"/>
      <c r="Y174" s="60">
        <f>Y173</f>
        <v>2500000</v>
      </c>
      <c r="Z174" s="60">
        <f>Z173</f>
        <v>3095270</v>
      </c>
      <c r="AA174" s="61">
        <f>Z174/Y174*100</f>
        <v>123.8108</v>
      </c>
      <c r="AB174" s="60">
        <f>AB173</f>
        <v>3082046</v>
      </c>
      <c r="AC174" s="61">
        <f>Z174/AB174*100</f>
        <v>100.42906562718402</v>
      </c>
      <c r="AD174" s="60">
        <f>AD173</f>
        <v>50000</v>
      </c>
      <c r="AE174" s="60">
        <f>AE173</f>
        <v>91408</v>
      </c>
      <c r="AF174" s="60">
        <f>AF173</f>
        <v>36620</v>
      </c>
      <c r="AG174" s="60">
        <f>AG173</f>
        <v>128028</v>
      </c>
      <c r="AH174" s="61">
        <f>AE174/AD174*100</f>
        <v>182.816</v>
      </c>
      <c r="AI174" s="60">
        <f>AI173</f>
        <v>79674</v>
      </c>
      <c r="AJ174" s="61">
        <f>AE174/AI174*100</f>
        <v>114.727514622085</v>
      </c>
      <c r="AK174" s="61">
        <f>AE174/Z174*100</f>
        <v>2.9531510982886795</v>
      </c>
    </row>
  </sheetData>
  <phoneticPr fontId="1"/>
  <pageMargins left="0.70866141732283472" right="0.70866141732283472" top="0.74803149606299213" bottom="0.74803149606299213" header="0.31496062992125984" footer="0.31496062992125984"/>
  <pageSetup paperSize="9" scale="24" fitToHeight="0" orientation="landscape" r:id="rId1"/>
  <headerFooter>
    <oddHeader>&amp;L&amp;A</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0C07C-C7FC-4C64-A60C-518C785D5E5A}">
  <sheetPr codeName="Sheet6">
    <pageSetUpPr fitToPage="1"/>
  </sheetPr>
  <dimension ref="A1:AO35"/>
  <sheetViews>
    <sheetView view="pageBreakPreview" zoomScaleNormal="85" zoomScaleSheetLayoutView="100" workbookViewId="0"/>
  </sheetViews>
  <sheetFormatPr defaultColWidth="9" defaultRowHeight="13.2"/>
  <cols>
    <col min="1" max="2" width="11.33203125" style="56" customWidth="1"/>
    <col min="3" max="3" width="8.44140625" style="45" customWidth="1"/>
    <col min="4" max="4" width="14.44140625" style="45" bestFit="1" customWidth="1"/>
    <col min="5" max="5" width="8.44140625" style="45" customWidth="1"/>
    <col min="6" max="6" width="10.109375" style="56" customWidth="1"/>
    <col min="7" max="7" width="11.6640625" style="56" customWidth="1"/>
    <col min="8" max="8" width="10.21875" style="56" customWidth="1"/>
    <col min="9" max="9" width="17.6640625" style="45" customWidth="1"/>
    <col min="10" max="10" width="10.6640625" style="45" customWidth="1"/>
    <col min="11" max="11" width="15.6640625" style="45" customWidth="1"/>
    <col min="12" max="12" width="10.33203125" style="45" customWidth="1"/>
    <col min="13" max="13" width="13.109375" style="45" customWidth="1"/>
    <col min="14" max="14" width="10.33203125" style="45" customWidth="1"/>
    <col min="15" max="15" width="16.88671875" style="45" bestFit="1" customWidth="1"/>
    <col min="16" max="16" width="10.33203125" style="45" customWidth="1"/>
    <col min="17" max="17" width="13.109375" style="45" customWidth="1"/>
    <col min="18" max="18" width="10.33203125" style="45" customWidth="1"/>
    <col min="19" max="19" width="40.77734375" style="45" bestFit="1" customWidth="1"/>
    <col min="20" max="20" width="12.109375" style="45" bestFit="1" customWidth="1"/>
    <col min="21" max="22" width="13.109375" style="45" customWidth="1"/>
    <col min="23" max="23" width="13.44140625" style="45" customWidth="1"/>
    <col min="24" max="24" width="18.109375" style="45" customWidth="1"/>
    <col min="25" max="25" width="16.109375" style="45" customWidth="1"/>
    <col min="26" max="26" width="16.109375" style="45" bestFit="1" customWidth="1"/>
    <col min="27" max="27" width="16.77734375" style="45" customWidth="1"/>
    <col min="28" max="28" width="14.88671875" style="45" customWidth="1"/>
    <col min="29" max="29" width="16.44140625" style="45" customWidth="1"/>
    <col min="30" max="30" width="16.109375" style="45" bestFit="1" customWidth="1"/>
    <col min="31" max="31" width="15.109375" style="45" customWidth="1"/>
    <col min="32" max="32" width="17.33203125" style="45" customWidth="1"/>
    <col min="33" max="33" width="14.109375" style="45" customWidth="1"/>
    <col min="34" max="34" width="10" style="45" customWidth="1"/>
    <col min="35" max="35" width="17.21875" style="45" customWidth="1"/>
    <col min="36" max="38" width="17.21875" style="56" customWidth="1"/>
    <col min="39" max="39" width="12.109375" style="56" bestFit="1" customWidth="1"/>
    <col min="40" max="40" width="11" style="56" bestFit="1" customWidth="1"/>
    <col min="41" max="41" width="8" style="45" bestFit="1" customWidth="1"/>
    <col min="42" max="42" width="13.44140625" style="56" bestFit="1" customWidth="1"/>
    <col min="43" max="50" width="6" style="56" bestFit="1" customWidth="1"/>
    <col min="51" max="51" width="7" style="56" bestFit="1" customWidth="1"/>
    <col min="52" max="52" width="6" style="56" bestFit="1" customWidth="1"/>
    <col min="53" max="53" width="7" style="56" bestFit="1" customWidth="1"/>
    <col min="54" max="54" width="6" style="56" bestFit="1" customWidth="1"/>
    <col min="55" max="16384" width="9" style="56"/>
  </cols>
  <sheetData>
    <row r="1" spans="1:40" ht="14.4">
      <c r="A1" s="55"/>
    </row>
    <row r="9" spans="1:40" s="58" customFormat="1" ht="33.75" customHeight="1">
      <c r="A9" s="35" t="s">
        <v>125</v>
      </c>
      <c r="B9" s="35" t="s">
        <v>126</v>
      </c>
      <c r="C9" s="36" t="s">
        <v>192</v>
      </c>
      <c r="D9" s="36" t="s">
        <v>193</v>
      </c>
      <c r="E9" s="36" t="s">
        <v>127</v>
      </c>
      <c r="F9" s="35" t="s">
        <v>53</v>
      </c>
      <c r="G9" s="35" t="s">
        <v>128</v>
      </c>
      <c r="H9" s="37" t="s">
        <v>129</v>
      </c>
      <c r="I9" s="37" t="s">
        <v>130</v>
      </c>
      <c r="J9" s="37" t="s">
        <v>131</v>
      </c>
      <c r="K9" s="37" t="s">
        <v>132</v>
      </c>
      <c r="L9" s="37" t="s">
        <v>166</v>
      </c>
      <c r="M9" s="37" t="s">
        <v>167</v>
      </c>
      <c r="N9" s="37" t="s">
        <v>270</v>
      </c>
      <c r="O9" s="37" t="s">
        <v>271</v>
      </c>
      <c r="P9" s="37" t="s">
        <v>133</v>
      </c>
      <c r="Q9" s="37" t="s">
        <v>134</v>
      </c>
      <c r="R9" s="37" t="s">
        <v>200</v>
      </c>
      <c r="S9" s="37" t="s">
        <v>201</v>
      </c>
      <c r="T9" s="37" t="s">
        <v>99</v>
      </c>
      <c r="U9" s="37" t="s">
        <v>101</v>
      </c>
      <c r="V9" s="37" t="s">
        <v>135</v>
      </c>
      <c r="W9" s="37" t="s">
        <v>136</v>
      </c>
      <c r="X9" s="37" t="s">
        <v>137</v>
      </c>
      <c r="Y9" s="37" t="s">
        <v>138</v>
      </c>
      <c r="Z9" s="37" t="s">
        <v>139</v>
      </c>
      <c r="AA9" s="37" t="s">
        <v>140</v>
      </c>
      <c r="AB9" s="37" t="s">
        <v>141</v>
      </c>
      <c r="AC9" s="37" t="s">
        <v>142</v>
      </c>
      <c r="AD9" s="37" t="s">
        <v>143</v>
      </c>
      <c r="AE9" s="37" t="s">
        <v>144</v>
      </c>
      <c r="AF9" s="37" t="s">
        <v>145</v>
      </c>
      <c r="AG9" s="37" t="s">
        <v>146</v>
      </c>
      <c r="AH9" s="37" t="s">
        <v>147</v>
      </c>
      <c r="AI9" s="57" t="s">
        <v>148</v>
      </c>
      <c r="AJ9" s="57" t="s">
        <v>149</v>
      </c>
      <c r="AK9" s="57" t="s">
        <v>104</v>
      </c>
    </row>
    <row r="10" spans="1:40" s="62" customFormat="1">
      <c r="A10" s="59" t="s">
        <v>298</v>
      </c>
      <c r="B10" s="60" t="s">
        <v>296</v>
      </c>
      <c r="C10" s="60" t="s">
        <v>197</v>
      </c>
      <c r="D10" s="60" t="s">
        <v>330</v>
      </c>
      <c r="E10" s="60" t="s">
        <v>90</v>
      </c>
      <c r="F10" s="60"/>
      <c r="G10" s="60"/>
      <c r="H10" s="60"/>
      <c r="I10" s="60"/>
      <c r="J10" s="60"/>
      <c r="K10" s="60"/>
      <c r="L10" s="60" t="s">
        <v>222</v>
      </c>
      <c r="M10" s="60" t="s">
        <v>218</v>
      </c>
      <c r="N10" s="60" t="s">
        <v>325</v>
      </c>
      <c r="O10" s="60" t="s">
        <v>255</v>
      </c>
      <c r="P10" s="60" t="s">
        <v>256</v>
      </c>
      <c r="Q10" s="60" t="s">
        <v>258</v>
      </c>
      <c r="R10" s="59" t="s">
        <v>264</v>
      </c>
      <c r="S10" s="60" t="s">
        <v>255</v>
      </c>
      <c r="T10" s="60"/>
      <c r="U10" s="60"/>
      <c r="V10" s="60">
        <v>0</v>
      </c>
      <c r="W10" s="60">
        <v>941000</v>
      </c>
      <c r="X10" s="60" t="s">
        <v>92</v>
      </c>
      <c r="Y10" s="60">
        <v>279463</v>
      </c>
      <c r="Z10" s="60">
        <v>268638</v>
      </c>
      <c r="AA10" s="61">
        <v>96.126499751308756</v>
      </c>
      <c r="AB10" s="60">
        <v>267739</v>
      </c>
      <c r="AC10" s="61">
        <v>100.33577476572333</v>
      </c>
      <c r="AD10" s="60">
        <v>30903</v>
      </c>
      <c r="AE10" s="60">
        <v>41792</v>
      </c>
      <c r="AF10" s="60">
        <v>226845</v>
      </c>
      <c r="AG10" s="60">
        <v>268637</v>
      </c>
      <c r="AH10" s="61">
        <v>135.23606122382941</v>
      </c>
      <c r="AI10" s="60">
        <v>42243</v>
      </c>
      <c r="AJ10" s="61">
        <v>98.932367492839049</v>
      </c>
      <c r="AK10" s="61">
        <v>15.556994915090197</v>
      </c>
    </row>
    <row r="11" spans="1:40" s="62" customFormat="1">
      <c r="A11" s="63" t="s">
        <v>299</v>
      </c>
      <c r="B11" s="63" t="s">
        <v>297</v>
      </c>
      <c r="C11" s="64" t="s">
        <v>197</v>
      </c>
      <c r="D11" s="64" t="s">
        <v>331</v>
      </c>
      <c r="E11" s="64" t="s">
        <v>82</v>
      </c>
      <c r="F11" s="64"/>
      <c r="G11" s="64"/>
      <c r="H11" s="64"/>
      <c r="I11" s="64"/>
      <c r="J11" s="64"/>
      <c r="K11" s="64"/>
      <c r="L11" s="64"/>
      <c r="M11" s="64"/>
      <c r="N11" s="64"/>
      <c r="O11" s="64"/>
      <c r="P11" s="64"/>
      <c r="Q11" s="64"/>
      <c r="R11" s="64"/>
      <c r="S11" s="64"/>
      <c r="T11" s="64"/>
      <c r="U11" s="64"/>
      <c r="V11" s="64">
        <v>1</v>
      </c>
      <c r="W11" s="64"/>
      <c r="X11" s="64" t="s">
        <v>92</v>
      </c>
      <c r="Y11" s="64">
        <f>SUM(Y10)</f>
        <v>279463</v>
      </c>
      <c r="Z11" s="64">
        <f>SUM(Z10)</f>
        <v>268638</v>
      </c>
      <c r="AA11" s="65">
        <f>Z11/Y11*100</f>
        <v>96.126499751308756</v>
      </c>
      <c r="AB11" s="64">
        <f>SUM(AB10)</f>
        <v>267739</v>
      </c>
      <c r="AC11" s="65">
        <f>Z11/AB11*100</f>
        <v>100.33577476572333</v>
      </c>
      <c r="AD11" s="64">
        <f>SUM(AD10)</f>
        <v>30903</v>
      </c>
      <c r="AE11" s="64">
        <f>SUM(AE10)</f>
        <v>41792</v>
      </c>
      <c r="AF11" s="64">
        <f>SUM(AF10)</f>
        <v>226845</v>
      </c>
      <c r="AG11" s="64">
        <f>SUM(AG10)</f>
        <v>268637</v>
      </c>
      <c r="AH11" s="65">
        <f>AE11/AD11*100</f>
        <v>135.23606122382941</v>
      </c>
      <c r="AI11" s="64">
        <f>SUM(AI10)</f>
        <v>42243</v>
      </c>
      <c r="AJ11" s="65">
        <f>AE11/AI11*100</f>
        <v>98.932367492839049</v>
      </c>
      <c r="AK11" s="65">
        <f t="shared" ref="AK11:AK12" si="0">AE11/Z11*100</f>
        <v>15.556994915090197</v>
      </c>
    </row>
    <row r="12" spans="1:40" s="62" customFormat="1">
      <c r="A12" s="60" t="s">
        <v>298</v>
      </c>
      <c r="B12" s="60" t="s">
        <v>296</v>
      </c>
      <c r="C12" s="60" t="s">
        <v>197</v>
      </c>
      <c r="D12" s="60" t="s">
        <v>331</v>
      </c>
      <c r="E12" s="60" t="s">
        <v>82</v>
      </c>
      <c r="F12" s="60"/>
      <c r="G12" s="60"/>
      <c r="H12" s="60"/>
      <c r="I12" s="60"/>
      <c r="J12" s="60"/>
      <c r="K12" s="60"/>
      <c r="L12" s="60"/>
      <c r="M12" s="60"/>
      <c r="N12" s="60"/>
      <c r="O12" s="60"/>
      <c r="P12" s="60"/>
      <c r="Q12" s="60"/>
      <c r="R12" s="60"/>
      <c r="S12" s="60"/>
      <c r="T12" s="60"/>
      <c r="U12" s="60"/>
      <c r="V12" s="60">
        <v>1</v>
      </c>
      <c r="W12" s="60"/>
      <c r="X12" s="60"/>
      <c r="Y12" s="60">
        <f>Y11</f>
        <v>279463</v>
      </c>
      <c r="Z12" s="60">
        <f>Z11</f>
        <v>268638</v>
      </c>
      <c r="AA12" s="61">
        <f t="shared" ref="AA12" si="1">Z12/Y12*100</f>
        <v>96.126499751308756</v>
      </c>
      <c r="AB12" s="60">
        <f>AB11</f>
        <v>267739</v>
      </c>
      <c r="AC12" s="61">
        <f t="shared" ref="AC12" si="2">Z12/AB12*100</f>
        <v>100.33577476572333</v>
      </c>
      <c r="AD12" s="60">
        <f>AD11</f>
        <v>30903</v>
      </c>
      <c r="AE12" s="60">
        <f>AE11</f>
        <v>41792</v>
      </c>
      <c r="AF12" s="60">
        <f>AF11</f>
        <v>226845</v>
      </c>
      <c r="AG12" s="60">
        <f>AG11</f>
        <v>268637</v>
      </c>
      <c r="AH12" s="61">
        <f t="shared" ref="AH12" si="3">AE12/AD12*100</f>
        <v>135.23606122382941</v>
      </c>
      <c r="AI12" s="60">
        <f>AI11</f>
        <v>42243</v>
      </c>
      <c r="AJ12" s="61">
        <f t="shared" ref="AJ12" si="4">AE12/AI12*100</f>
        <v>98.932367492839049</v>
      </c>
      <c r="AK12" s="61">
        <f t="shared" si="0"/>
        <v>15.556994915090197</v>
      </c>
    </row>
    <row r="13" spans="1:40" s="45" customFormat="1">
      <c r="B13" s="56"/>
      <c r="X13" s="42"/>
      <c r="Y13" s="43"/>
      <c r="Z13" s="43"/>
      <c r="AA13" s="43"/>
      <c r="AB13" s="43"/>
      <c r="AC13" s="44"/>
      <c r="AD13" s="43"/>
      <c r="AE13" s="43"/>
      <c r="AF13" s="43"/>
      <c r="AG13" s="43"/>
      <c r="AH13" s="43"/>
      <c r="AJ13" s="56"/>
      <c r="AK13" s="56"/>
      <c r="AL13" s="56"/>
      <c r="AM13" s="56"/>
      <c r="AN13" s="56"/>
    </row>
    <row r="14" spans="1:40" s="45" customFormat="1">
      <c r="B14" s="56"/>
      <c r="AJ14" s="56"/>
      <c r="AK14" s="56"/>
      <c r="AL14" s="56"/>
      <c r="AM14" s="56"/>
      <c r="AN14" s="56"/>
    </row>
    <row r="15" spans="1:40" s="45" customFormat="1">
      <c r="A15" s="56"/>
      <c r="B15" s="56"/>
      <c r="C15" s="66"/>
      <c r="D15" s="66"/>
      <c r="E15" s="66"/>
      <c r="F15" s="56"/>
      <c r="G15" s="56"/>
      <c r="H15" s="56"/>
      <c r="AJ15" s="56"/>
      <c r="AK15" s="56"/>
      <c r="AL15" s="56"/>
      <c r="AM15" s="56"/>
      <c r="AN15" s="56"/>
    </row>
    <row r="16" spans="1:40" s="45" customFormat="1">
      <c r="B16" s="56"/>
      <c r="C16" s="56"/>
      <c r="D16" s="56"/>
      <c r="E16" s="56"/>
      <c r="K16" s="56"/>
      <c r="AJ16" s="56"/>
      <c r="AK16" s="56"/>
      <c r="AL16" s="56"/>
      <c r="AM16" s="56"/>
      <c r="AN16" s="56"/>
    </row>
    <row r="17" spans="1:40" s="45" customFormat="1">
      <c r="B17" s="56"/>
      <c r="AJ17" s="56"/>
      <c r="AK17" s="56"/>
      <c r="AL17" s="56"/>
      <c r="AM17" s="56"/>
      <c r="AN17" s="56"/>
    </row>
    <row r="18" spans="1:40" s="45" customFormat="1">
      <c r="A18" s="56"/>
      <c r="B18" s="56"/>
      <c r="C18" s="56"/>
      <c r="D18" s="56"/>
      <c r="E18" s="56"/>
      <c r="F18" s="56"/>
      <c r="G18" s="56"/>
      <c r="H18" s="56"/>
      <c r="AJ18" s="56"/>
      <c r="AK18" s="56"/>
      <c r="AL18" s="56"/>
      <c r="AM18" s="56"/>
      <c r="AN18" s="56"/>
    </row>
    <row r="19" spans="1:40" s="45" customFormat="1">
      <c r="A19" s="56"/>
      <c r="B19" s="56"/>
      <c r="C19" s="56"/>
      <c r="D19" s="56"/>
      <c r="E19" s="56"/>
      <c r="F19" s="56"/>
      <c r="G19" s="56"/>
      <c r="H19" s="56"/>
      <c r="AJ19" s="56"/>
      <c r="AK19" s="56"/>
      <c r="AL19" s="56"/>
      <c r="AM19" s="56"/>
      <c r="AN19" s="56"/>
    </row>
    <row r="20" spans="1:40" s="58" customFormat="1" ht="33.75" customHeight="1">
      <c r="A20" s="35" t="s">
        <v>125</v>
      </c>
      <c r="B20" s="35" t="s">
        <v>126</v>
      </c>
      <c r="C20" s="36" t="s">
        <v>192</v>
      </c>
      <c r="D20" s="36" t="s">
        <v>193</v>
      </c>
      <c r="E20" s="36" t="s">
        <v>127</v>
      </c>
      <c r="F20" s="35" t="s">
        <v>53</v>
      </c>
      <c r="G20" s="35" t="s">
        <v>128</v>
      </c>
      <c r="H20" s="37" t="s">
        <v>129</v>
      </c>
      <c r="I20" s="37" t="s">
        <v>130</v>
      </c>
      <c r="J20" s="37" t="s">
        <v>131</v>
      </c>
      <c r="K20" s="37" t="s">
        <v>132</v>
      </c>
      <c r="L20" s="37" t="s">
        <v>166</v>
      </c>
      <c r="M20" s="37" t="s">
        <v>167</v>
      </c>
      <c r="N20" s="37" t="s">
        <v>270</v>
      </c>
      <c r="O20" s="37" t="s">
        <v>271</v>
      </c>
      <c r="P20" s="37" t="s">
        <v>133</v>
      </c>
      <c r="Q20" s="37" t="s">
        <v>134</v>
      </c>
      <c r="R20" s="37" t="s">
        <v>200</v>
      </c>
      <c r="S20" s="37" t="s">
        <v>201</v>
      </c>
      <c r="T20" s="37" t="s">
        <v>99</v>
      </c>
      <c r="U20" s="37" t="s">
        <v>101</v>
      </c>
      <c r="V20" s="37" t="s">
        <v>135</v>
      </c>
      <c r="W20" s="37" t="s">
        <v>136</v>
      </c>
      <c r="X20" s="37" t="s">
        <v>137</v>
      </c>
      <c r="Y20" s="37" t="s">
        <v>138</v>
      </c>
      <c r="Z20" s="37" t="s">
        <v>139</v>
      </c>
      <c r="AA20" s="37" t="s">
        <v>140</v>
      </c>
      <c r="AB20" s="37" t="s">
        <v>141</v>
      </c>
      <c r="AC20" s="37" t="s">
        <v>142</v>
      </c>
      <c r="AD20" s="37" t="s">
        <v>143</v>
      </c>
      <c r="AE20" s="37" t="s">
        <v>144</v>
      </c>
      <c r="AF20" s="37" t="s">
        <v>145</v>
      </c>
      <c r="AG20" s="37" t="s">
        <v>146</v>
      </c>
      <c r="AH20" s="37" t="s">
        <v>147</v>
      </c>
      <c r="AI20" s="57" t="s">
        <v>148</v>
      </c>
      <c r="AJ20" s="57" t="s">
        <v>149</v>
      </c>
      <c r="AK20" s="57" t="s">
        <v>104</v>
      </c>
    </row>
    <row r="21" spans="1:40" s="62" customFormat="1">
      <c r="A21" s="63" t="s">
        <v>298</v>
      </c>
      <c r="B21" s="63" t="s">
        <v>296</v>
      </c>
      <c r="C21" s="64" t="s">
        <v>199</v>
      </c>
      <c r="D21" s="64" t="s">
        <v>191</v>
      </c>
      <c r="E21" s="64" t="s">
        <v>90</v>
      </c>
      <c r="F21" s="64"/>
      <c r="G21" s="64"/>
      <c r="H21" s="64"/>
      <c r="I21" s="64"/>
      <c r="J21" s="64"/>
      <c r="K21" s="64"/>
      <c r="L21" s="64"/>
      <c r="M21" s="64"/>
      <c r="N21" s="64"/>
      <c r="O21" s="64"/>
      <c r="P21" s="64"/>
      <c r="Q21" s="64"/>
      <c r="R21" s="64"/>
      <c r="S21" s="64"/>
      <c r="T21" s="64" t="s">
        <v>150</v>
      </c>
      <c r="U21" s="64" t="s">
        <v>151</v>
      </c>
      <c r="V21" s="64">
        <v>0</v>
      </c>
      <c r="W21" s="64">
        <v>940000</v>
      </c>
      <c r="X21" s="64" t="s">
        <v>91</v>
      </c>
      <c r="Y21" s="64">
        <v>1250000</v>
      </c>
      <c r="Z21" s="64">
        <v>1547635</v>
      </c>
      <c r="AA21" s="65">
        <f t="shared" ref="AA21:AA23" si="5">Z21/Y21*100</f>
        <v>123.8108</v>
      </c>
      <c r="AB21" s="64">
        <v>1541023</v>
      </c>
      <c r="AC21" s="65">
        <f t="shared" ref="AC21:AC23" si="6">Z21/AB21*100</f>
        <v>100.42906562718402</v>
      </c>
      <c r="AD21" s="64">
        <v>25000</v>
      </c>
      <c r="AE21" s="64">
        <v>45704</v>
      </c>
      <c r="AF21" s="64">
        <v>18310</v>
      </c>
      <c r="AG21" s="64">
        <v>64014</v>
      </c>
      <c r="AH21" s="65">
        <f t="shared" ref="AH21:AH23" si="7">AE21/AD21*100</f>
        <v>182.816</v>
      </c>
      <c r="AI21" s="64">
        <v>39837</v>
      </c>
      <c r="AJ21" s="65">
        <f t="shared" ref="AJ21:AJ23" si="8">AE21/AI21*100</f>
        <v>114.727514622085</v>
      </c>
      <c r="AK21" s="65">
        <f t="shared" ref="AK21" si="9">AE21/Z21*100</f>
        <v>2.9531510982886795</v>
      </c>
    </row>
    <row r="22" spans="1:40" s="62" customFormat="1">
      <c r="A22" s="60" t="s">
        <v>298</v>
      </c>
      <c r="B22" s="60" t="s">
        <v>296</v>
      </c>
      <c r="C22" s="60" t="s">
        <v>199</v>
      </c>
      <c r="D22" s="60" t="s">
        <v>191</v>
      </c>
      <c r="E22" s="60" t="s">
        <v>82</v>
      </c>
      <c r="F22" s="60"/>
      <c r="G22" s="60"/>
      <c r="H22" s="60"/>
      <c r="I22" s="60"/>
      <c r="J22" s="60"/>
      <c r="K22" s="60"/>
      <c r="L22" s="60"/>
      <c r="M22" s="60"/>
      <c r="N22" s="60"/>
      <c r="O22" s="60"/>
      <c r="P22" s="60"/>
      <c r="Q22" s="60"/>
      <c r="R22" s="60"/>
      <c r="S22" s="60"/>
      <c r="T22" s="60"/>
      <c r="U22" s="60"/>
      <c r="V22" s="60">
        <v>1</v>
      </c>
      <c r="W22" s="60"/>
      <c r="X22" s="60" t="s">
        <v>91</v>
      </c>
      <c r="Y22" s="60">
        <f>SUM(Y20:Y21)</f>
        <v>1250000</v>
      </c>
      <c r="Z22" s="60">
        <f>SUM(Z20:Z21)</f>
        <v>1547635</v>
      </c>
      <c r="AA22" s="61">
        <f t="shared" si="5"/>
        <v>123.8108</v>
      </c>
      <c r="AB22" s="60">
        <f>SUM(AB20:AB21)</f>
        <v>1541023</v>
      </c>
      <c r="AC22" s="61">
        <f t="shared" si="6"/>
        <v>100.42906562718402</v>
      </c>
      <c r="AD22" s="60">
        <f>SUM(AD20:AD21)</f>
        <v>25000</v>
      </c>
      <c r="AE22" s="60">
        <f t="shared" ref="AE22:AI22" si="10">SUM(AE20:AE21)</f>
        <v>45704</v>
      </c>
      <c r="AF22" s="60">
        <f t="shared" si="10"/>
        <v>18310</v>
      </c>
      <c r="AG22" s="60">
        <f t="shared" si="10"/>
        <v>64014</v>
      </c>
      <c r="AH22" s="61">
        <f t="shared" si="7"/>
        <v>182.816</v>
      </c>
      <c r="AI22" s="60">
        <f t="shared" si="10"/>
        <v>39837</v>
      </c>
      <c r="AJ22" s="61">
        <f t="shared" si="8"/>
        <v>114.727514622085</v>
      </c>
      <c r="AK22" s="61">
        <f>AE22/Z22*100</f>
        <v>2.9531510982886795</v>
      </c>
    </row>
    <row r="23" spans="1:40" s="62" customFormat="1">
      <c r="A23" s="64" t="s">
        <v>298</v>
      </c>
      <c r="B23" s="64" t="s">
        <v>296</v>
      </c>
      <c r="C23" s="64" t="s">
        <v>199</v>
      </c>
      <c r="D23" s="64" t="s">
        <v>191</v>
      </c>
      <c r="E23" s="64" t="s">
        <v>82</v>
      </c>
      <c r="F23" s="64"/>
      <c r="G23" s="64"/>
      <c r="H23" s="64"/>
      <c r="I23" s="64"/>
      <c r="J23" s="64"/>
      <c r="K23" s="64"/>
      <c r="L23" s="64"/>
      <c r="M23" s="64"/>
      <c r="N23" s="64"/>
      <c r="O23" s="64"/>
      <c r="P23" s="64"/>
      <c r="Q23" s="64"/>
      <c r="R23" s="64"/>
      <c r="S23" s="64"/>
      <c r="T23" s="64"/>
      <c r="U23" s="64"/>
      <c r="V23" s="64">
        <v>1</v>
      </c>
      <c r="W23" s="64"/>
      <c r="X23" s="64"/>
      <c r="Y23" s="64">
        <f>Y22</f>
        <v>1250000</v>
      </c>
      <c r="Z23" s="64">
        <f>Z22</f>
        <v>1547635</v>
      </c>
      <c r="AA23" s="65">
        <f t="shared" si="5"/>
        <v>123.8108</v>
      </c>
      <c r="AB23" s="64">
        <f>AB22</f>
        <v>1541023</v>
      </c>
      <c r="AC23" s="65">
        <f t="shared" si="6"/>
        <v>100.42906562718402</v>
      </c>
      <c r="AD23" s="64">
        <f>AD22</f>
        <v>25000</v>
      </c>
      <c r="AE23" s="64">
        <f>AE22</f>
        <v>45704</v>
      </c>
      <c r="AF23" s="64">
        <f>AF22</f>
        <v>18310</v>
      </c>
      <c r="AG23" s="64">
        <f>AG22</f>
        <v>64014</v>
      </c>
      <c r="AH23" s="65">
        <f t="shared" si="7"/>
        <v>182.816</v>
      </c>
      <c r="AI23" s="64">
        <f>AI22</f>
        <v>39837</v>
      </c>
      <c r="AJ23" s="65">
        <f t="shared" si="8"/>
        <v>114.727514622085</v>
      </c>
      <c r="AK23" s="65">
        <f t="shared" ref="AK23" si="11">AE23/Z23*100</f>
        <v>2.9531510982886795</v>
      </c>
    </row>
    <row r="24" spans="1:40" s="45" customFormat="1" ht="14.4">
      <c r="A24" s="56"/>
      <c r="B24" s="56"/>
      <c r="C24" s="56"/>
      <c r="D24" s="56"/>
      <c r="E24" s="56"/>
      <c r="F24" s="56"/>
      <c r="G24" s="56"/>
      <c r="H24" s="56"/>
      <c r="I24" s="39" t="s">
        <v>93</v>
      </c>
      <c r="AJ24" s="56"/>
      <c r="AK24" s="56"/>
      <c r="AL24" s="56"/>
      <c r="AM24" s="56"/>
      <c r="AN24" s="56"/>
    </row>
    <row r="25" spans="1:40" s="45" customFormat="1">
      <c r="A25" s="63" t="s">
        <v>298</v>
      </c>
      <c r="B25" s="63" t="s">
        <v>296</v>
      </c>
      <c r="C25" s="64" t="s">
        <v>199</v>
      </c>
      <c r="D25" s="64" t="s">
        <v>191</v>
      </c>
      <c r="E25" s="64" t="s">
        <v>90</v>
      </c>
      <c r="F25" s="64"/>
      <c r="G25" s="64"/>
      <c r="H25" s="64">
        <v>41</v>
      </c>
      <c r="I25" s="64" t="s">
        <v>156</v>
      </c>
      <c r="J25" s="64"/>
      <c r="K25" s="64"/>
      <c r="L25" s="64"/>
      <c r="M25" s="64"/>
      <c r="N25" s="64"/>
      <c r="O25" s="64"/>
      <c r="P25" s="64"/>
      <c r="Q25" s="64"/>
      <c r="R25" s="64"/>
      <c r="S25" s="64"/>
      <c r="T25" s="64" t="s">
        <v>150</v>
      </c>
      <c r="U25" s="64" t="s">
        <v>151</v>
      </c>
      <c r="V25" s="64">
        <v>0</v>
      </c>
      <c r="W25" s="64">
        <v>940000</v>
      </c>
      <c r="X25" s="64" t="s">
        <v>91</v>
      </c>
      <c r="Y25" s="64">
        <v>1250000</v>
      </c>
      <c r="Z25" s="64">
        <v>1547635</v>
      </c>
      <c r="AA25" s="65">
        <f t="shared" ref="AA25:AA27" si="12">Z25/Y25*100</f>
        <v>123.8108</v>
      </c>
      <c r="AB25" s="64">
        <v>1541023</v>
      </c>
      <c r="AC25" s="65">
        <f t="shared" ref="AC25:AC27" si="13">Z25/AB25*100</f>
        <v>100.42906562718402</v>
      </c>
      <c r="AD25" s="64">
        <v>25000</v>
      </c>
      <c r="AE25" s="64">
        <v>45704</v>
      </c>
      <c r="AF25" s="64">
        <v>18310</v>
      </c>
      <c r="AG25" s="64">
        <v>64014</v>
      </c>
      <c r="AH25" s="65">
        <f t="shared" ref="AH25:AH27" si="14">AE25/AD25*100</f>
        <v>182.816</v>
      </c>
      <c r="AI25" s="64">
        <v>39837</v>
      </c>
      <c r="AJ25" s="65">
        <f t="shared" ref="AJ25:AJ27" si="15">AE25/AI25*100</f>
        <v>114.727514622085</v>
      </c>
      <c r="AK25" s="65">
        <f t="shared" ref="AK25" si="16">AE25/Z25*100</f>
        <v>2.9531510982886795</v>
      </c>
      <c r="AL25" s="56"/>
      <c r="AM25" s="56"/>
      <c r="AN25" s="56"/>
    </row>
    <row r="26" spans="1:40">
      <c r="A26" s="60" t="s">
        <v>298</v>
      </c>
      <c r="B26" s="60" t="s">
        <v>296</v>
      </c>
      <c r="C26" s="60" t="s">
        <v>199</v>
      </c>
      <c r="D26" s="60" t="s">
        <v>191</v>
      </c>
      <c r="E26" s="60" t="s">
        <v>82</v>
      </c>
      <c r="F26" s="60"/>
      <c r="G26" s="60"/>
      <c r="H26" s="60">
        <v>41</v>
      </c>
      <c r="I26" s="60" t="s">
        <v>156</v>
      </c>
      <c r="J26" s="60"/>
      <c r="K26" s="60"/>
      <c r="L26" s="60"/>
      <c r="M26" s="60"/>
      <c r="N26" s="60"/>
      <c r="O26" s="60"/>
      <c r="P26" s="60"/>
      <c r="Q26" s="60"/>
      <c r="R26" s="60"/>
      <c r="S26" s="60"/>
      <c r="T26" s="60"/>
      <c r="U26" s="60"/>
      <c r="V26" s="60">
        <v>1</v>
      </c>
      <c r="W26" s="60"/>
      <c r="X26" s="60" t="s">
        <v>91</v>
      </c>
      <c r="Y26" s="60">
        <f>SUM(Y24:Y25)</f>
        <v>1250000</v>
      </c>
      <c r="Z26" s="60">
        <f>SUM(Z24:Z25)</f>
        <v>1547635</v>
      </c>
      <c r="AA26" s="61">
        <f t="shared" si="12"/>
        <v>123.8108</v>
      </c>
      <c r="AB26" s="60">
        <f>SUM(AB24:AB25)</f>
        <v>1541023</v>
      </c>
      <c r="AC26" s="61">
        <f t="shared" si="13"/>
        <v>100.42906562718402</v>
      </c>
      <c r="AD26" s="60">
        <f>SUM(AD24:AD25)</f>
        <v>25000</v>
      </c>
      <c r="AE26" s="60">
        <f t="shared" ref="AE26:AG26" si="17">SUM(AE24:AE25)</f>
        <v>45704</v>
      </c>
      <c r="AF26" s="60">
        <f t="shared" si="17"/>
        <v>18310</v>
      </c>
      <c r="AG26" s="60">
        <f t="shared" si="17"/>
        <v>64014</v>
      </c>
      <c r="AH26" s="61">
        <f t="shared" si="14"/>
        <v>182.816</v>
      </c>
      <c r="AI26" s="60">
        <f t="shared" ref="AI26" si="18">SUM(AI24:AI25)</f>
        <v>39837</v>
      </c>
      <c r="AJ26" s="61">
        <f t="shared" si="15"/>
        <v>114.727514622085</v>
      </c>
      <c r="AK26" s="61">
        <f>AE26/Z26*100</f>
        <v>2.9531510982886795</v>
      </c>
    </row>
    <row r="27" spans="1:40">
      <c r="A27" s="64" t="s">
        <v>298</v>
      </c>
      <c r="B27" s="64" t="s">
        <v>296</v>
      </c>
      <c r="C27" s="64" t="s">
        <v>199</v>
      </c>
      <c r="D27" s="64" t="s">
        <v>191</v>
      </c>
      <c r="E27" s="64" t="s">
        <v>82</v>
      </c>
      <c r="F27" s="64"/>
      <c r="G27" s="64"/>
      <c r="H27" s="64">
        <v>41</v>
      </c>
      <c r="I27" s="64" t="s">
        <v>156</v>
      </c>
      <c r="J27" s="64"/>
      <c r="K27" s="64"/>
      <c r="L27" s="64"/>
      <c r="M27" s="64"/>
      <c r="N27" s="64"/>
      <c r="O27" s="64"/>
      <c r="P27" s="64"/>
      <c r="Q27" s="64"/>
      <c r="R27" s="64"/>
      <c r="S27" s="64"/>
      <c r="T27" s="64"/>
      <c r="U27" s="64"/>
      <c r="V27" s="64">
        <v>1</v>
      </c>
      <c r="W27" s="64"/>
      <c r="X27" s="64"/>
      <c r="Y27" s="64">
        <f>Y26</f>
        <v>1250000</v>
      </c>
      <c r="Z27" s="64">
        <f>Z26</f>
        <v>1547635</v>
      </c>
      <c r="AA27" s="65">
        <f t="shared" si="12"/>
        <v>123.8108</v>
      </c>
      <c r="AB27" s="64">
        <f>AB26</f>
        <v>1541023</v>
      </c>
      <c r="AC27" s="65">
        <f t="shared" si="13"/>
        <v>100.42906562718402</v>
      </c>
      <c r="AD27" s="64">
        <f>AD26</f>
        <v>25000</v>
      </c>
      <c r="AE27" s="64">
        <f>AE26</f>
        <v>45704</v>
      </c>
      <c r="AF27" s="64">
        <f>AF26</f>
        <v>18310</v>
      </c>
      <c r="AG27" s="64">
        <f>AG26</f>
        <v>64014</v>
      </c>
      <c r="AH27" s="65">
        <f t="shared" si="14"/>
        <v>182.816</v>
      </c>
      <c r="AI27" s="64">
        <f>AI26</f>
        <v>39837</v>
      </c>
      <c r="AJ27" s="65">
        <f t="shared" si="15"/>
        <v>114.727514622085</v>
      </c>
      <c r="AK27" s="65">
        <f t="shared" ref="AK27" si="19">AE27/Z27*100</f>
        <v>2.9531510982886795</v>
      </c>
    </row>
    <row r="28" spans="1:40" ht="14.4">
      <c r="I28" s="39" t="s">
        <v>93</v>
      </c>
    </row>
    <row r="29" spans="1:40">
      <c r="A29" s="63" t="s">
        <v>298</v>
      </c>
      <c r="B29" s="63" t="s">
        <v>296</v>
      </c>
      <c r="C29" s="64" t="s">
        <v>199</v>
      </c>
      <c r="D29" s="64" t="s">
        <v>191</v>
      </c>
      <c r="E29" s="64" t="s">
        <v>90</v>
      </c>
      <c r="F29" s="64"/>
      <c r="G29" s="64"/>
      <c r="H29" s="64">
        <v>41</v>
      </c>
      <c r="I29" s="64" t="s">
        <v>156</v>
      </c>
      <c r="J29" s="64" t="s">
        <v>157</v>
      </c>
      <c r="K29" s="64" t="s">
        <v>158</v>
      </c>
      <c r="L29" s="64"/>
      <c r="M29" s="64"/>
      <c r="N29" s="64"/>
      <c r="O29" s="64"/>
      <c r="P29" s="64"/>
      <c r="Q29" s="64"/>
      <c r="R29" s="64"/>
      <c r="S29" s="64"/>
      <c r="T29" s="64" t="s">
        <v>150</v>
      </c>
      <c r="U29" s="64" t="s">
        <v>151</v>
      </c>
      <c r="V29" s="64">
        <v>0</v>
      </c>
      <c r="W29" s="64">
        <v>940000</v>
      </c>
      <c r="X29" s="64" t="s">
        <v>91</v>
      </c>
      <c r="Y29" s="64">
        <v>1250000</v>
      </c>
      <c r="Z29" s="64">
        <v>1547635</v>
      </c>
      <c r="AA29" s="65">
        <f t="shared" ref="AA29:AA31" si="20">Z29/Y29*100</f>
        <v>123.8108</v>
      </c>
      <c r="AB29" s="64">
        <v>1541023</v>
      </c>
      <c r="AC29" s="65">
        <f t="shared" ref="AC29:AC31" si="21">Z29/AB29*100</f>
        <v>100.42906562718402</v>
      </c>
      <c r="AD29" s="64">
        <v>25000</v>
      </c>
      <c r="AE29" s="64">
        <v>45704</v>
      </c>
      <c r="AF29" s="64">
        <v>18310</v>
      </c>
      <c r="AG29" s="64">
        <v>64014</v>
      </c>
      <c r="AH29" s="65">
        <f t="shared" ref="AH29:AH31" si="22">AE29/AD29*100</f>
        <v>182.816</v>
      </c>
      <c r="AI29" s="64">
        <v>39837</v>
      </c>
      <c r="AJ29" s="65">
        <f t="shared" ref="AJ29:AJ31" si="23">AE29/AI29*100</f>
        <v>114.727514622085</v>
      </c>
      <c r="AK29" s="65">
        <f t="shared" ref="AK29" si="24">AE29/Z29*100</f>
        <v>2.9531510982886795</v>
      </c>
    </row>
    <row r="30" spans="1:40">
      <c r="A30" s="60" t="s">
        <v>298</v>
      </c>
      <c r="B30" s="60" t="s">
        <v>296</v>
      </c>
      <c r="C30" s="60" t="s">
        <v>199</v>
      </c>
      <c r="D30" s="60" t="s">
        <v>191</v>
      </c>
      <c r="E30" s="60" t="s">
        <v>82</v>
      </c>
      <c r="F30" s="60"/>
      <c r="G30" s="60"/>
      <c r="H30" s="60">
        <v>41</v>
      </c>
      <c r="I30" s="60" t="s">
        <v>156</v>
      </c>
      <c r="J30" s="60" t="s">
        <v>157</v>
      </c>
      <c r="K30" s="60" t="s">
        <v>158</v>
      </c>
      <c r="L30" s="60"/>
      <c r="M30" s="60"/>
      <c r="N30" s="60"/>
      <c r="O30" s="60"/>
      <c r="P30" s="60"/>
      <c r="Q30" s="60"/>
      <c r="R30" s="60"/>
      <c r="S30" s="60"/>
      <c r="T30" s="60"/>
      <c r="U30" s="60"/>
      <c r="V30" s="60">
        <v>1</v>
      </c>
      <c r="W30" s="60"/>
      <c r="X30" s="60" t="s">
        <v>91</v>
      </c>
      <c r="Y30" s="60">
        <f>SUM(Y28:Y29)</f>
        <v>1250000</v>
      </c>
      <c r="Z30" s="60">
        <f>SUM(Z28:Z29)</f>
        <v>1547635</v>
      </c>
      <c r="AA30" s="61">
        <f t="shared" si="20"/>
        <v>123.8108</v>
      </c>
      <c r="AB30" s="60">
        <f>SUM(AB28:AB29)</f>
        <v>1541023</v>
      </c>
      <c r="AC30" s="61">
        <f t="shared" si="21"/>
        <v>100.42906562718402</v>
      </c>
      <c r="AD30" s="60">
        <f>SUM(AD28:AD29)</f>
        <v>25000</v>
      </c>
      <c r="AE30" s="60">
        <f t="shared" ref="AE30:AG30" si="25">SUM(AE28:AE29)</f>
        <v>45704</v>
      </c>
      <c r="AF30" s="60">
        <f t="shared" si="25"/>
        <v>18310</v>
      </c>
      <c r="AG30" s="60">
        <f t="shared" si="25"/>
        <v>64014</v>
      </c>
      <c r="AH30" s="61">
        <f t="shared" si="22"/>
        <v>182.816</v>
      </c>
      <c r="AI30" s="60">
        <f t="shared" ref="AI30" si="26">SUM(AI28:AI29)</f>
        <v>39837</v>
      </c>
      <c r="AJ30" s="61">
        <f t="shared" si="23"/>
        <v>114.727514622085</v>
      </c>
      <c r="AK30" s="61">
        <f>AE30/Z30*100</f>
        <v>2.9531510982886795</v>
      </c>
    </row>
    <row r="31" spans="1:40">
      <c r="A31" s="64" t="s">
        <v>298</v>
      </c>
      <c r="B31" s="64" t="s">
        <v>296</v>
      </c>
      <c r="C31" s="64" t="s">
        <v>199</v>
      </c>
      <c r="D31" s="64" t="s">
        <v>191</v>
      </c>
      <c r="E31" s="64" t="s">
        <v>82</v>
      </c>
      <c r="F31" s="64"/>
      <c r="G31" s="64"/>
      <c r="H31" s="64">
        <v>41</v>
      </c>
      <c r="I31" s="64" t="s">
        <v>156</v>
      </c>
      <c r="J31" s="64" t="s">
        <v>157</v>
      </c>
      <c r="K31" s="64" t="s">
        <v>158</v>
      </c>
      <c r="L31" s="64"/>
      <c r="M31" s="64"/>
      <c r="N31" s="64"/>
      <c r="O31" s="64"/>
      <c r="P31" s="64"/>
      <c r="Q31" s="64"/>
      <c r="R31" s="64"/>
      <c r="S31" s="64"/>
      <c r="T31" s="64"/>
      <c r="U31" s="64"/>
      <c r="V31" s="64">
        <v>1</v>
      </c>
      <c r="W31" s="64"/>
      <c r="X31" s="64"/>
      <c r="Y31" s="64">
        <f>Y30</f>
        <v>1250000</v>
      </c>
      <c r="Z31" s="64">
        <f>Z30</f>
        <v>1547635</v>
      </c>
      <c r="AA31" s="65">
        <f t="shared" si="20"/>
        <v>123.8108</v>
      </c>
      <c r="AB31" s="64">
        <f>AB30</f>
        <v>1541023</v>
      </c>
      <c r="AC31" s="65">
        <f t="shared" si="21"/>
        <v>100.42906562718402</v>
      </c>
      <c r="AD31" s="64">
        <f>AD30</f>
        <v>25000</v>
      </c>
      <c r="AE31" s="64">
        <f>AE30</f>
        <v>45704</v>
      </c>
      <c r="AF31" s="64">
        <f>AF30</f>
        <v>18310</v>
      </c>
      <c r="AG31" s="64">
        <f>AG30</f>
        <v>64014</v>
      </c>
      <c r="AH31" s="65">
        <f t="shared" si="22"/>
        <v>182.816</v>
      </c>
      <c r="AI31" s="64">
        <f>AI30</f>
        <v>39837</v>
      </c>
      <c r="AJ31" s="65">
        <f t="shared" si="23"/>
        <v>114.727514622085</v>
      </c>
      <c r="AK31" s="65">
        <f t="shared" ref="AK31" si="27">AE31/Z31*100</f>
        <v>2.9531510982886795</v>
      </c>
    </row>
    <row r="32" spans="1:40" ht="14.4">
      <c r="I32" s="39" t="s">
        <v>93</v>
      </c>
    </row>
    <row r="33" spans="1:37">
      <c r="A33" s="63" t="s">
        <v>298</v>
      </c>
      <c r="B33" s="63" t="s">
        <v>296</v>
      </c>
      <c r="C33" s="64" t="s">
        <v>199</v>
      </c>
      <c r="D33" s="64" t="s">
        <v>191</v>
      </c>
      <c r="E33" s="64" t="s">
        <v>90</v>
      </c>
      <c r="F33" s="64"/>
      <c r="G33" s="64"/>
      <c r="H33" s="64">
        <v>41</v>
      </c>
      <c r="I33" s="64" t="s">
        <v>156</v>
      </c>
      <c r="J33" s="64" t="s">
        <v>157</v>
      </c>
      <c r="K33" s="64" t="s">
        <v>158</v>
      </c>
      <c r="L33" s="64"/>
      <c r="M33" s="64"/>
      <c r="N33" s="64"/>
      <c r="O33" s="64"/>
      <c r="P33" s="64">
        <v>18</v>
      </c>
      <c r="Q33" s="64" t="s">
        <v>160</v>
      </c>
      <c r="R33" s="64"/>
      <c r="S33" s="64"/>
      <c r="T33" s="64" t="s">
        <v>150</v>
      </c>
      <c r="U33" s="64" t="s">
        <v>151</v>
      </c>
      <c r="V33" s="64">
        <v>0</v>
      </c>
      <c r="W33" s="64">
        <v>940000</v>
      </c>
      <c r="X33" s="64" t="s">
        <v>91</v>
      </c>
      <c r="Y33" s="64">
        <v>1250000</v>
      </c>
      <c r="Z33" s="64">
        <v>1547635</v>
      </c>
      <c r="AA33" s="65">
        <f t="shared" ref="AA33:AA35" si="28">Z33/Y33*100</f>
        <v>123.8108</v>
      </c>
      <c r="AB33" s="64">
        <v>1541023</v>
      </c>
      <c r="AC33" s="65">
        <f t="shared" ref="AC33:AC35" si="29">Z33/AB33*100</f>
        <v>100.42906562718402</v>
      </c>
      <c r="AD33" s="64">
        <v>25000</v>
      </c>
      <c r="AE33" s="64">
        <v>45704</v>
      </c>
      <c r="AF33" s="64">
        <v>18310</v>
      </c>
      <c r="AG33" s="64">
        <v>64014</v>
      </c>
      <c r="AH33" s="65">
        <f t="shared" ref="AH33:AH35" si="30">AE33/AD33*100</f>
        <v>182.816</v>
      </c>
      <c r="AI33" s="64">
        <v>39837</v>
      </c>
      <c r="AJ33" s="65">
        <f t="shared" ref="AJ33:AJ35" si="31">AE33/AI33*100</f>
        <v>114.727514622085</v>
      </c>
      <c r="AK33" s="65">
        <f t="shared" ref="AK33" si="32">AE33/Z33*100</f>
        <v>2.9531510982886795</v>
      </c>
    </row>
    <row r="34" spans="1:37">
      <c r="A34" s="60" t="s">
        <v>298</v>
      </c>
      <c r="B34" s="60" t="s">
        <v>296</v>
      </c>
      <c r="C34" s="60" t="s">
        <v>199</v>
      </c>
      <c r="D34" s="60" t="s">
        <v>191</v>
      </c>
      <c r="E34" s="60" t="s">
        <v>82</v>
      </c>
      <c r="F34" s="60"/>
      <c r="G34" s="60"/>
      <c r="H34" s="60">
        <v>41</v>
      </c>
      <c r="I34" s="60" t="s">
        <v>156</v>
      </c>
      <c r="J34" s="60" t="s">
        <v>157</v>
      </c>
      <c r="K34" s="60" t="s">
        <v>158</v>
      </c>
      <c r="L34" s="60"/>
      <c r="M34" s="60"/>
      <c r="N34" s="60"/>
      <c r="O34" s="60"/>
      <c r="P34" s="60">
        <v>18</v>
      </c>
      <c r="Q34" s="60" t="s">
        <v>160</v>
      </c>
      <c r="R34" s="60"/>
      <c r="S34" s="60"/>
      <c r="T34" s="60"/>
      <c r="U34" s="60"/>
      <c r="V34" s="60">
        <v>1</v>
      </c>
      <c r="W34" s="60"/>
      <c r="X34" s="60" t="s">
        <v>91</v>
      </c>
      <c r="Y34" s="60">
        <f>SUM(Y32:Y33)</f>
        <v>1250000</v>
      </c>
      <c r="Z34" s="60">
        <f>SUM(Z32:Z33)</f>
        <v>1547635</v>
      </c>
      <c r="AA34" s="61">
        <f t="shared" si="28"/>
        <v>123.8108</v>
      </c>
      <c r="AB34" s="60">
        <f>SUM(AB32:AB33)</f>
        <v>1541023</v>
      </c>
      <c r="AC34" s="61">
        <f t="shared" si="29"/>
        <v>100.42906562718402</v>
      </c>
      <c r="AD34" s="60">
        <f>SUM(AD32:AD33)</f>
        <v>25000</v>
      </c>
      <c r="AE34" s="60">
        <f t="shared" ref="AE34:AG34" si="33">SUM(AE32:AE33)</f>
        <v>45704</v>
      </c>
      <c r="AF34" s="60">
        <f t="shared" si="33"/>
        <v>18310</v>
      </c>
      <c r="AG34" s="60">
        <f t="shared" si="33"/>
        <v>64014</v>
      </c>
      <c r="AH34" s="61">
        <f t="shared" si="30"/>
        <v>182.816</v>
      </c>
      <c r="AI34" s="60">
        <f t="shared" ref="AI34" si="34">SUM(AI32:AI33)</f>
        <v>39837</v>
      </c>
      <c r="AJ34" s="61">
        <f t="shared" si="31"/>
        <v>114.727514622085</v>
      </c>
      <c r="AK34" s="61">
        <f>AE34/Z34*100</f>
        <v>2.9531510982886795</v>
      </c>
    </row>
    <row r="35" spans="1:37">
      <c r="A35" s="64" t="s">
        <v>298</v>
      </c>
      <c r="B35" s="64" t="s">
        <v>296</v>
      </c>
      <c r="C35" s="64" t="s">
        <v>199</v>
      </c>
      <c r="D35" s="64" t="s">
        <v>191</v>
      </c>
      <c r="E35" s="64" t="s">
        <v>82</v>
      </c>
      <c r="F35" s="64"/>
      <c r="G35" s="64"/>
      <c r="H35" s="64">
        <v>41</v>
      </c>
      <c r="I35" s="64" t="s">
        <v>156</v>
      </c>
      <c r="J35" s="64" t="s">
        <v>157</v>
      </c>
      <c r="K35" s="64" t="s">
        <v>158</v>
      </c>
      <c r="L35" s="64"/>
      <c r="M35" s="64"/>
      <c r="N35" s="64"/>
      <c r="O35" s="64"/>
      <c r="P35" s="64">
        <v>18</v>
      </c>
      <c r="Q35" s="64" t="s">
        <v>160</v>
      </c>
      <c r="R35" s="64"/>
      <c r="S35" s="64"/>
      <c r="T35" s="64"/>
      <c r="U35" s="64"/>
      <c r="V35" s="64">
        <v>1</v>
      </c>
      <c r="W35" s="64"/>
      <c r="X35" s="64"/>
      <c r="Y35" s="64">
        <f>Y34</f>
        <v>1250000</v>
      </c>
      <c r="Z35" s="64">
        <f>Z34</f>
        <v>1547635</v>
      </c>
      <c r="AA35" s="65">
        <f t="shared" si="28"/>
        <v>123.8108</v>
      </c>
      <c r="AB35" s="64">
        <f>AB34</f>
        <v>1541023</v>
      </c>
      <c r="AC35" s="65">
        <f t="shared" si="29"/>
        <v>100.42906562718402</v>
      </c>
      <c r="AD35" s="64">
        <f>AD34</f>
        <v>25000</v>
      </c>
      <c r="AE35" s="64">
        <f>AE34</f>
        <v>45704</v>
      </c>
      <c r="AF35" s="64">
        <f>AF34</f>
        <v>18310</v>
      </c>
      <c r="AG35" s="64">
        <f>AG34</f>
        <v>64014</v>
      </c>
      <c r="AH35" s="65">
        <f t="shared" si="30"/>
        <v>182.816</v>
      </c>
      <c r="AI35" s="64">
        <f>AI34</f>
        <v>39837</v>
      </c>
      <c r="AJ35" s="65">
        <f t="shared" si="31"/>
        <v>114.727514622085</v>
      </c>
      <c r="AK35" s="65">
        <f t="shared" ref="AK35" si="35">AE35/Z35*100</f>
        <v>2.9531510982886795</v>
      </c>
    </row>
  </sheetData>
  <phoneticPr fontId="1"/>
  <pageMargins left="0.70866141732283472" right="0.70866141732283472" top="0.74803149606299213" bottom="0.74803149606299213" header="0.31496062992125984" footer="0.31496062992125984"/>
  <pageSetup paperSize="9" scale="25" fitToHeight="0" orientation="landscape" r:id="rId1"/>
  <headerFooter>
    <oddHeader>&amp;L&amp;A</oddHeader>
  </headerFooter>
  <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A723CD-4999-4B8C-90B6-0280CA5B084E}">
  <sheetPr codeName="Sheet7">
    <pageSetUpPr fitToPage="1"/>
  </sheetPr>
  <dimension ref="A1:BK42"/>
  <sheetViews>
    <sheetView view="pageBreakPreview" zoomScaleNormal="100" zoomScaleSheetLayoutView="100" workbookViewId="0"/>
  </sheetViews>
  <sheetFormatPr defaultColWidth="2.109375" defaultRowHeight="14.4"/>
  <cols>
    <col min="1" max="16384" width="2.109375" style="6"/>
  </cols>
  <sheetData>
    <row r="1" spans="1:63" ht="21" customHeight="1">
      <c r="A1" s="1" t="s">
        <v>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2" t="s">
        <v>1</v>
      </c>
    </row>
    <row r="2" spans="1:63" s="3" customFormat="1" ht="18" customHeight="1">
      <c r="A2" s="99" t="s">
        <v>38</v>
      </c>
      <c r="B2" s="100"/>
      <c r="C2" s="100"/>
      <c r="D2" s="100"/>
      <c r="E2" s="100"/>
      <c r="F2" s="100"/>
      <c r="G2" s="100"/>
      <c r="H2" s="100"/>
      <c r="I2" s="100"/>
      <c r="J2" s="100"/>
      <c r="K2" s="100"/>
      <c r="L2" s="100"/>
      <c r="M2" s="100"/>
      <c r="N2" s="100"/>
      <c r="O2" s="100"/>
      <c r="P2" s="100"/>
      <c r="Q2" s="100"/>
      <c r="R2" s="100"/>
      <c r="S2" s="100"/>
      <c r="T2" s="100"/>
      <c r="U2" s="100"/>
      <c r="V2" s="100"/>
      <c r="W2" s="100"/>
      <c r="X2" s="100"/>
      <c r="Y2" s="100"/>
      <c r="Z2" s="100"/>
      <c r="AA2" s="100"/>
      <c r="AB2" s="100"/>
      <c r="AC2" s="100"/>
      <c r="AD2" s="100"/>
      <c r="AE2" s="100"/>
      <c r="AF2" s="100"/>
      <c r="AG2" s="100"/>
      <c r="AH2" s="100"/>
      <c r="AI2" s="100"/>
      <c r="AJ2" s="100"/>
      <c r="AK2" s="100"/>
      <c r="AL2" s="100"/>
      <c r="AM2" s="100"/>
      <c r="AN2" s="100"/>
      <c r="AO2" s="100"/>
      <c r="AP2" s="100"/>
      <c r="AQ2" s="100"/>
      <c r="AR2" s="100"/>
      <c r="AS2" s="101"/>
      <c r="AT2" s="93" t="s">
        <v>3</v>
      </c>
      <c r="AU2" s="94"/>
      <c r="AV2" s="94"/>
      <c r="AW2" s="94"/>
      <c r="AX2" s="95"/>
      <c r="AY2" s="93" t="s">
        <v>39</v>
      </c>
      <c r="AZ2" s="94"/>
      <c r="BA2" s="94"/>
      <c r="BB2" s="95"/>
      <c r="BC2" s="93" t="s">
        <v>5</v>
      </c>
      <c r="BD2" s="94"/>
      <c r="BE2" s="94"/>
      <c r="BF2" s="95"/>
      <c r="BG2" s="93"/>
      <c r="BH2" s="94"/>
      <c r="BI2" s="94"/>
      <c r="BJ2" s="95"/>
    </row>
    <row r="3" spans="1:63" s="1" customFormat="1" ht="18" customHeight="1">
      <c r="A3" s="102" t="s">
        <v>6</v>
      </c>
      <c r="B3" s="103"/>
      <c r="C3" s="103"/>
      <c r="D3" s="103"/>
      <c r="E3" s="103"/>
      <c r="F3" s="103"/>
      <c r="G3" s="103"/>
      <c r="H3" s="104"/>
      <c r="I3" s="108" t="s">
        <v>303</v>
      </c>
      <c r="J3" s="109"/>
      <c r="K3" s="109"/>
      <c r="L3" s="109"/>
      <c r="M3" s="109"/>
      <c r="N3" s="109"/>
      <c r="O3" s="109"/>
      <c r="P3" s="109"/>
      <c r="Q3" s="109"/>
      <c r="R3" s="109"/>
      <c r="S3" s="109"/>
      <c r="T3" s="109"/>
      <c r="U3" s="109"/>
      <c r="V3" s="109"/>
      <c r="W3" s="109"/>
      <c r="X3" s="109"/>
      <c r="Y3" s="109"/>
      <c r="Z3" s="109"/>
      <c r="AA3" s="109"/>
      <c r="AB3" s="109"/>
      <c r="AC3" s="109"/>
      <c r="AD3" s="109"/>
      <c r="AE3" s="109"/>
      <c r="AF3" s="109"/>
      <c r="AG3" s="109"/>
      <c r="AH3" s="109"/>
      <c r="AI3" s="109"/>
      <c r="AJ3" s="109"/>
      <c r="AK3" s="109"/>
      <c r="AL3" s="109"/>
      <c r="AM3" s="109"/>
      <c r="AN3" s="109"/>
      <c r="AO3" s="109"/>
      <c r="AP3" s="109"/>
      <c r="AQ3" s="109"/>
      <c r="AR3" s="109"/>
      <c r="AS3" s="110"/>
      <c r="AT3" s="93" t="s">
        <v>7</v>
      </c>
      <c r="AU3" s="94"/>
      <c r="AV3" s="94"/>
      <c r="AW3" s="94"/>
      <c r="AX3" s="95"/>
      <c r="AY3" s="93" t="s">
        <v>302</v>
      </c>
      <c r="AZ3" s="94"/>
      <c r="BA3" s="94"/>
      <c r="BB3" s="94"/>
      <c r="BC3" s="94"/>
      <c r="BD3" s="94"/>
      <c r="BE3" s="94"/>
      <c r="BF3" s="94"/>
      <c r="BG3" s="94"/>
      <c r="BH3" s="94"/>
      <c r="BI3" s="94"/>
      <c r="BJ3" s="95"/>
    </row>
    <row r="4" spans="1:63" s="1" customFormat="1" ht="18" customHeight="1">
      <c r="A4" s="105"/>
      <c r="B4" s="106"/>
      <c r="C4" s="106"/>
      <c r="D4" s="106"/>
      <c r="E4" s="106"/>
      <c r="F4" s="106"/>
      <c r="G4" s="106"/>
      <c r="H4" s="107"/>
      <c r="I4" s="111"/>
      <c r="J4" s="112"/>
      <c r="K4" s="112"/>
      <c r="L4" s="112"/>
      <c r="M4" s="112"/>
      <c r="N4" s="112"/>
      <c r="O4" s="112"/>
      <c r="P4" s="112"/>
      <c r="Q4" s="112"/>
      <c r="R4" s="112"/>
      <c r="S4" s="112"/>
      <c r="T4" s="112"/>
      <c r="U4" s="112"/>
      <c r="V4" s="112"/>
      <c r="W4" s="112"/>
      <c r="X4" s="112"/>
      <c r="Y4" s="112"/>
      <c r="Z4" s="112"/>
      <c r="AA4" s="112"/>
      <c r="AB4" s="112"/>
      <c r="AC4" s="112"/>
      <c r="AD4" s="112"/>
      <c r="AE4" s="112"/>
      <c r="AF4" s="112"/>
      <c r="AG4" s="112"/>
      <c r="AH4" s="112"/>
      <c r="AI4" s="112"/>
      <c r="AJ4" s="112"/>
      <c r="AK4" s="112"/>
      <c r="AL4" s="112"/>
      <c r="AM4" s="112"/>
      <c r="AN4" s="112"/>
      <c r="AO4" s="112"/>
      <c r="AP4" s="112"/>
      <c r="AQ4" s="112"/>
      <c r="AR4" s="112"/>
      <c r="AS4" s="113"/>
      <c r="AT4" s="93" t="s">
        <v>8</v>
      </c>
      <c r="AU4" s="94"/>
      <c r="AV4" s="94"/>
      <c r="AW4" s="94"/>
      <c r="AX4" s="95"/>
      <c r="AY4" s="93"/>
      <c r="AZ4" s="94"/>
      <c r="BA4" s="94"/>
      <c r="BB4" s="94"/>
      <c r="BC4" s="94"/>
      <c r="BD4" s="94"/>
      <c r="BE4" s="94"/>
      <c r="BF4" s="94"/>
      <c r="BG4" s="94"/>
      <c r="BH4" s="94"/>
      <c r="BI4" s="94"/>
      <c r="BJ4" s="95"/>
    </row>
    <row r="5" spans="1:63" ht="5.25" customHeight="1">
      <c r="A5" s="7"/>
      <c r="B5" s="7"/>
      <c r="C5" s="7"/>
      <c r="D5" s="7"/>
      <c r="E5" s="7"/>
      <c r="F5" s="7"/>
      <c r="G5" s="7"/>
      <c r="H5" s="7"/>
      <c r="I5" s="7"/>
      <c r="J5" s="7"/>
      <c r="K5" s="7"/>
      <c r="L5" s="7"/>
      <c r="M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row>
    <row r="6" spans="1:63" s="1" customFormat="1" ht="19.5" customHeight="1">
      <c r="A6" s="155" t="s">
        <v>16</v>
      </c>
      <c r="B6" s="157"/>
      <c r="C6" s="157"/>
      <c r="D6" s="157"/>
      <c r="E6" s="157"/>
      <c r="F6" s="157"/>
      <c r="G6" s="157"/>
      <c r="H6" s="157"/>
      <c r="I6" s="157"/>
      <c r="J6" s="157"/>
      <c r="K6" s="156"/>
      <c r="L6" s="155" t="s">
        <v>98</v>
      </c>
      <c r="M6" s="157"/>
      <c r="N6" s="157"/>
      <c r="O6" s="157"/>
      <c r="P6" s="157"/>
      <c r="Q6" s="157"/>
      <c r="R6" s="157"/>
      <c r="S6" s="157"/>
      <c r="T6" s="157"/>
      <c r="U6" s="157"/>
      <c r="V6" s="157"/>
      <c r="W6" s="157"/>
      <c r="X6" s="157"/>
      <c r="Y6" s="157"/>
      <c r="Z6" s="157"/>
      <c r="AA6" s="157"/>
      <c r="AB6" s="157"/>
      <c r="AC6" s="157"/>
      <c r="AD6" s="157"/>
      <c r="AE6" s="157"/>
      <c r="AF6" s="157"/>
      <c r="AG6" s="157"/>
      <c r="AH6" s="157"/>
      <c r="AI6" s="157"/>
      <c r="AJ6" s="157"/>
      <c r="AK6" s="157"/>
      <c r="AL6" s="157"/>
      <c r="AM6" s="157"/>
      <c r="AN6" s="157"/>
      <c r="AO6" s="157"/>
      <c r="AP6" s="157"/>
      <c r="AQ6" s="157"/>
      <c r="AR6" s="157"/>
      <c r="AS6" s="157"/>
      <c r="AT6" s="157"/>
      <c r="AU6" s="157"/>
      <c r="AV6" s="157"/>
      <c r="AW6" s="157"/>
      <c r="AX6" s="157"/>
      <c r="AY6" s="157"/>
      <c r="AZ6" s="157"/>
      <c r="BA6" s="157"/>
      <c r="BB6" s="157"/>
      <c r="BC6" s="157"/>
      <c r="BD6" s="157"/>
      <c r="BE6" s="157"/>
      <c r="BF6" s="157"/>
      <c r="BG6" s="157"/>
      <c r="BH6" s="157"/>
      <c r="BI6" s="157"/>
      <c r="BJ6" s="156"/>
      <c r="BK6" s="8"/>
    </row>
    <row r="7" spans="1:63" ht="9" customHeight="1">
      <c r="A7" s="7"/>
      <c r="B7" s="7"/>
      <c r="C7" s="7"/>
      <c r="D7" s="7"/>
      <c r="E7" s="7"/>
      <c r="F7" s="7"/>
      <c r="G7" s="7"/>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7"/>
      <c r="AY7" s="7"/>
      <c r="AZ7" s="7"/>
      <c r="BA7" s="7"/>
      <c r="BB7" s="7"/>
      <c r="BC7" s="7"/>
      <c r="BD7" s="7"/>
      <c r="BE7" s="7"/>
      <c r="BF7" s="7"/>
      <c r="BG7" s="7"/>
      <c r="BH7" s="7"/>
      <c r="BI7" s="7"/>
      <c r="BJ7" s="7"/>
    </row>
    <row r="8" spans="1:63" ht="30.75" customHeight="1">
      <c r="A8" s="93" t="s">
        <v>20</v>
      </c>
      <c r="B8" s="94"/>
      <c r="C8" s="95"/>
      <c r="D8" s="93" t="s">
        <v>40</v>
      </c>
      <c r="E8" s="94"/>
      <c r="F8" s="94"/>
      <c r="G8" s="94"/>
      <c r="H8" s="94"/>
      <c r="I8" s="94"/>
      <c r="J8" s="94"/>
      <c r="K8" s="94"/>
      <c r="L8" s="94"/>
      <c r="M8" s="94"/>
      <c r="N8" s="94"/>
      <c r="O8" s="94"/>
      <c r="P8" s="94"/>
      <c r="Q8" s="95"/>
      <c r="R8" s="178" t="s">
        <v>41</v>
      </c>
      <c r="S8" s="179"/>
      <c r="T8" s="179"/>
      <c r="U8" s="180"/>
      <c r="V8" s="178" t="s">
        <v>42</v>
      </c>
      <c r="W8" s="179"/>
      <c r="X8" s="179"/>
      <c r="Y8" s="180"/>
      <c r="Z8" s="178" t="s">
        <v>43</v>
      </c>
      <c r="AA8" s="179"/>
      <c r="AB8" s="179"/>
      <c r="AC8" s="180"/>
      <c r="AD8" s="178" t="s">
        <v>44</v>
      </c>
      <c r="AE8" s="179"/>
      <c r="AF8" s="179"/>
      <c r="AG8" s="180"/>
      <c r="AH8" s="93" t="s">
        <v>45</v>
      </c>
      <c r="AI8" s="94"/>
      <c r="AJ8" s="94"/>
      <c r="AK8" s="94"/>
      <c r="AL8" s="94"/>
      <c r="AM8" s="94"/>
      <c r="AN8" s="94"/>
      <c r="AO8" s="94"/>
      <c r="AP8" s="94"/>
      <c r="AQ8" s="94"/>
      <c r="AR8" s="94"/>
      <c r="AS8" s="94"/>
      <c r="AT8" s="94"/>
      <c r="AU8" s="94"/>
      <c r="AV8" s="94"/>
      <c r="AW8" s="94"/>
      <c r="AX8" s="94"/>
      <c r="AY8" s="94"/>
      <c r="AZ8" s="94"/>
      <c r="BA8" s="94"/>
      <c r="BB8" s="94"/>
      <c r="BC8" s="95"/>
      <c r="BD8" s="178" t="s">
        <v>46</v>
      </c>
      <c r="BE8" s="179"/>
      <c r="BF8" s="179"/>
      <c r="BG8" s="179"/>
      <c r="BH8" s="179"/>
      <c r="BI8" s="179"/>
      <c r="BJ8" s="180"/>
    </row>
    <row r="9" spans="1:63" s="11" customFormat="1" ht="40.5" customHeight="1">
      <c r="A9" s="181"/>
      <c r="B9" s="182"/>
      <c r="C9" s="183"/>
      <c r="D9" s="184"/>
      <c r="E9" s="185"/>
      <c r="F9" s="185"/>
      <c r="G9" s="185"/>
      <c r="H9" s="185"/>
      <c r="I9" s="185"/>
      <c r="J9" s="185"/>
      <c r="K9" s="185"/>
      <c r="L9" s="185"/>
      <c r="M9" s="185"/>
      <c r="N9" s="185"/>
      <c r="O9" s="185"/>
      <c r="P9" s="185"/>
      <c r="Q9" s="186"/>
      <c r="R9" s="181"/>
      <c r="S9" s="182"/>
      <c r="T9" s="182"/>
      <c r="U9" s="183"/>
      <c r="V9" s="181"/>
      <c r="W9" s="182"/>
      <c r="X9" s="182"/>
      <c r="Y9" s="183"/>
      <c r="Z9" s="181"/>
      <c r="AA9" s="182"/>
      <c r="AB9" s="182"/>
      <c r="AC9" s="183"/>
      <c r="AD9" s="181"/>
      <c r="AE9" s="182"/>
      <c r="AF9" s="182"/>
      <c r="AG9" s="183"/>
      <c r="AH9" s="187" t="s">
        <v>89</v>
      </c>
      <c r="AI9" s="188"/>
      <c r="AJ9" s="188"/>
      <c r="AK9" s="188"/>
      <c r="AL9" s="188"/>
      <c r="AM9" s="188"/>
      <c r="AN9" s="188"/>
      <c r="AO9" s="188"/>
      <c r="AP9" s="188"/>
      <c r="AQ9" s="188"/>
      <c r="AR9" s="188"/>
      <c r="AS9" s="188"/>
      <c r="AT9" s="188"/>
      <c r="AU9" s="188"/>
      <c r="AV9" s="188"/>
      <c r="AW9" s="188"/>
      <c r="AX9" s="188"/>
      <c r="AY9" s="188"/>
      <c r="AZ9" s="188"/>
      <c r="BA9" s="188"/>
      <c r="BB9" s="188"/>
      <c r="BC9" s="189"/>
      <c r="BD9" s="181"/>
      <c r="BE9" s="182"/>
      <c r="BF9" s="182"/>
      <c r="BG9" s="182"/>
      <c r="BH9" s="182"/>
      <c r="BI9" s="182"/>
      <c r="BJ9" s="183"/>
    </row>
    <row r="10" spans="1:63" ht="40.5" customHeight="1">
      <c r="A10" s="193"/>
      <c r="B10" s="194"/>
      <c r="C10" s="195"/>
      <c r="D10" s="196"/>
      <c r="E10" s="197"/>
      <c r="F10" s="197"/>
      <c r="G10" s="197"/>
      <c r="H10" s="197"/>
      <c r="I10" s="197"/>
      <c r="J10" s="197"/>
      <c r="K10" s="197"/>
      <c r="L10" s="197"/>
      <c r="M10" s="197"/>
      <c r="N10" s="197"/>
      <c r="O10" s="197"/>
      <c r="P10" s="197"/>
      <c r="Q10" s="198"/>
      <c r="R10" s="193"/>
      <c r="S10" s="194"/>
      <c r="T10" s="194"/>
      <c r="U10" s="195"/>
      <c r="V10" s="193"/>
      <c r="W10" s="194"/>
      <c r="X10" s="194"/>
      <c r="Y10" s="195"/>
      <c r="Z10" s="193"/>
      <c r="AA10" s="194"/>
      <c r="AB10" s="194"/>
      <c r="AC10" s="195"/>
      <c r="AD10" s="193"/>
      <c r="AE10" s="194"/>
      <c r="AF10" s="194"/>
      <c r="AG10" s="195"/>
      <c r="AH10" s="190"/>
      <c r="AI10" s="191"/>
      <c r="AJ10" s="191"/>
      <c r="AK10" s="191"/>
      <c r="AL10" s="191"/>
      <c r="AM10" s="191"/>
      <c r="AN10" s="191"/>
      <c r="AO10" s="191"/>
      <c r="AP10" s="191"/>
      <c r="AQ10" s="191"/>
      <c r="AR10" s="191"/>
      <c r="AS10" s="191"/>
      <c r="AT10" s="191"/>
      <c r="AU10" s="191"/>
      <c r="AV10" s="191"/>
      <c r="AW10" s="191"/>
      <c r="AX10" s="191"/>
      <c r="AY10" s="191"/>
      <c r="AZ10" s="191"/>
      <c r="BA10" s="191"/>
      <c r="BB10" s="191"/>
      <c r="BC10" s="192"/>
      <c r="BD10" s="193"/>
      <c r="BE10" s="194"/>
      <c r="BF10" s="194"/>
      <c r="BG10" s="194"/>
      <c r="BH10" s="194"/>
      <c r="BI10" s="194"/>
      <c r="BJ10" s="195"/>
    </row>
    <row r="11" spans="1:63" ht="40.5" customHeight="1">
      <c r="A11" s="193"/>
      <c r="B11" s="194"/>
      <c r="C11" s="195"/>
      <c r="D11" s="196"/>
      <c r="E11" s="197"/>
      <c r="F11" s="197"/>
      <c r="G11" s="197"/>
      <c r="H11" s="197"/>
      <c r="I11" s="197"/>
      <c r="J11" s="197"/>
      <c r="K11" s="197"/>
      <c r="L11" s="197"/>
      <c r="M11" s="197"/>
      <c r="N11" s="197"/>
      <c r="O11" s="197"/>
      <c r="P11" s="197"/>
      <c r="Q11" s="198"/>
      <c r="R11" s="193"/>
      <c r="S11" s="194"/>
      <c r="T11" s="194"/>
      <c r="U11" s="195"/>
      <c r="V11" s="193"/>
      <c r="W11" s="194"/>
      <c r="X11" s="194"/>
      <c r="Y11" s="195"/>
      <c r="Z11" s="193"/>
      <c r="AA11" s="194"/>
      <c r="AB11" s="194"/>
      <c r="AC11" s="195"/>
      <c r="AD11" s="193"/>
      <c r="AE11" s="194"/>
      <c r="AF11" s="194"/>
      <c r="AG11" s="195"/>
      <c r="AH11" s="190"/>
      <c r="AI11" s="191"/>
      <c r="AJ11" s="191"/>
      <c r="AK11" s="191"/>
      <c r="AL11" s="191"/>
      <c r="AM11" s="191"/>
      <c r="AN11" s="191"/>
      <c r="AO11" s="191"/>
      <c r="AP11" s="191"/>
      <c r="AQ11" s="191"/>
      <c r="AR11" s="191"/>
      <c r="AS11" s="191"/>
      <c r="AT11" s="191"/>
      <c r="AU11" s="191"/>
      <c r="AV11" s="191"/>
      <c r="AW11" s="191"/>
      <c r="AX11" s="191"/>
      <c r="AY11" s="191"/>
      <c r="AZ11" s="191"/>
      <c r="BA11" s="191"/>
      <c r="BB11" s="191"/>
      <c r="BC11" s="192"/>
      <c r="BD11" s="193"/>
      <c r="BE11" s="194"/>
      <c r="BF11" s="194"/>
      <c r="BG11" s="194"/>
      <c r="BH11" s="194"/>
      <c r="BI11" s="194"/>
      <c r="BJ11" s="195"/>
    </row>
    <row r="12" spans="1:63" ht="40.5" customHeight="1">
      <c r="A12" s="193"/>
      <c r="B12" s="194"/>
      <c r="C12" s="195"/>
      <c r="D12" s="196"/>
      <c r="E12" s="197"/>
      <c r="F12" s="197"/>
      <c r="G12" s="197"/>
      <c r="H12" s="197"/>
      <c r="I12" s="197"/>
      <c r="J12" s="197"/>
      <c r="K12" s="197"/>
      <c r="L12" s="197"/>
      <c r="M12" s="197"/>
      <c r="N12" s="197"/>
      <c r="O12" s="197"/>
      <c r="P12" s="197"/>
      <c r="Q12" s="198"/>
      <c r="R12" s="193"/>
      <c r="S12" s="194"/>
      <c r="T12" s="194"/>
      <c r="U12" s="195"/>
      <c r="V12" s="193"/>
      <c r="W12" s="194"/>
      <c r="X12" s="194"/>
      <c r="Y12" s="195"/>
      <c r="Z12" s="193"/>
      <c r="AA12" s="194"/>
      <c r="AB12" s="194"/>
      <c r="AC12" s="195"/>
      <c r="AD12" s="193"/>
      <c r="AE12" s="194"/>
      <c r="AF12" s="194"/>
      <c r="AG12" s="195"/>
      <c r="AH12" s="190"/>
      <c r="AI12" s="191"/>
      <c r="AJ12" s="191"/>
      <c r="AK12" s="191"/>
      <c r="AL12" s="191"/>
      <c r="AM12" s="191"/>
      <c r="AN12" s="191"/>
      <c r="AO12" s="191"/>
      <c r="AP12" s="191"/>
      <c r="AQ12" s="191"/>
      <c r="AR12" s="191"/>
      <c r="AS12" s="191"/>
      <c r="AT12" s="191"/>
      <c r="AU12" s="191"/>
      <c r="AV12" s="191"/>
      <c r="AW12" s="191"/>
      <c r="AX12" s="191"/>
      <c r="AY12" s="191"/>
      <c r="AZ12" s="191"/>
      <c r="BA12" s="191"/>
      <c r="BB12" s="191"/>
      <c r="BC12" s="192"/>
      <c r="BD12" s="193"/>
      <c r="BE12" s="194"/>
      <c r="BF12" s="194"/>
      <c r="BG12" s="194"/>
      <c r="BH12" s="194"/>
      <c r="BI12" s="194"/>
      <c r="BJ12" s="195"/>
    </row>
    <row r="13" spans="1:63" ht="40.5" customHeight="1">
      <c r="A13" s="193"/>
      <c r="B13" s="194"/>
      <c r="C13" s="195"/>
      <c r="D13" s="196"/>
      <c r="E13" s="197"/>
      <c r="F13" s="197"/>
      <c r="G13" s="197"/>
      <c r="H13" s="197"/>
      <c r="I13" s="197"/>
      <c r="J13" s="197"/>
      <c r="K13" s="197"/>
      <c r="L13" s="197"/>
      <c r="M13" s="197"/>
      <c r="N13" s="197"/>
      <c r="O13" s="197"/>
      <c r="P13" s="197"/>
      <c r="Q13" s="198"/>
      <c r="R13" s="193"/>
      <c r="S13" s="194"/>
      <c r="T13" s="194"/>
      <c r="U13" s="195"/>
      <c r="V13" s="193"/>
      <c r="W13" s="194"/>
      <c r="X13" s="194"/>
      <c r="Y13" s="195"/>
      <c r="Z13" s="193"/>
      <c r="AA13" s="194"/>
      <c r="AB13" s="194"/>
      <c r="AC13" s="195"/>
      <c r="AD13" s="193"/>
      <c r="AE13" s="194"/>
      <c r="AF13" s="194"/>
      <c r="AG13" s="195"/>
      <c r="AH13" s="190"/>
      <c r="AI13" s="191"/>
      <c r="AJ13" s="191"/>
      <c r="AK13" s="191"/>
      <c r="AL13" s="191"/>
      <c r="AM13" s="191"/>
      <c r="AN13" s="191"/>
      <c r="AO13" s="191"/>
      <c r="AP13" s="191"/>
      <c r="AQ13" s="191"/>
      <c r="AR13" s="191"/>
      <c r="AS13" s="191"/>
      <c r="AT13" s="191"/>
      <c r="AU13" s="191"/>
      <c r="AV13" s="191"/>
      <c r="AW13" s="191"/>
      <c r="AX13" s="191"/>
      <c r="AY13" s="191"/>
      <c r="AZ13" s="191"/>
      <c r="BA13" s="191"/>
      <c r="BB13" s="191"/>
      <c r="BC13" s="192"/>
      <c r="BD13" s="193"/>
      <c r="BE13" s="194"/>
      <c r="BF13" s="194"/>
      <c r="BG13" s="194"/>
      <c r="BH13" s="194"/>
      <c r="BI13" s="194"/>
      <c r="BJ13" s="195"/>
    </row>
    <row r="14" spans="1:63" ht="40.5" customHeight="1">
      <c r="A14" s="193"/>
      <c r="B14" s="194"/>
      <c r="C14" s="195"/>
      <c r="D14" s="196"/>
      <c r="E14" s="197"/>
      <c r="F14" s="197"/>
      <c r="G14" s="197"/>
      <c r="H14" s="197"/>
      <c r="I14" s="197"/>
      <c r="J14" s="197"/>
      <c r="K14" s="197"/>
      <c r="L14" s="197"/>
      <c r="M14" s="197"/>
      <c r="N14" s="197"/>
      <c r="O14" s="197"/>
      <c r="P14" s="197"/>
      <c r="Q14" s="198"/>
      <c r="R14" s="193"/>
      <c r="S14" s="194"/>
      <c r="T14" s="194"/>
      <c r="U14" s="195"/>
      <c r="V14" s="193"/>
      <c r="W14" s="194"/>
      <c r="X14" s="194"/>
      <c r="Y14" s="195"/>
      <c r="Z14" s="193"/>
      <c r="AA14" s="194"/>
      <c r="AB14" s="194"/>
      <c r="AC14" s="195"/>
      <c r="AD14" s="193"/>
      <c r="AE14" s="194"/>
      <c r="AF14" s="194"/>
      <c r="AG14" s="195"/>
      <c r="AH14" s="190"/>
      <c r="AI14" s="191"/>
      <c r="AJ14" s="191"/>
      <c r="AK14" s="191"/>
      <c r="AL14" s="191"/>
      <c r="AM14" s="191"/>
      <c r="AN14" s="191"/>
      <c r="AO14" s="191"/>
      <c r="AP14" s="191"/>
      <c r="AQ14" s="191"/>
      <c r="AR14" s="191"/>
      <c r="AS14" s="191"/>
      <c r="AT14" s="191"/>
      <c r="AU14" s="191"/>
      <c r="AV14" s="191"/>
      <c r="AW14" s="191"/>
      <c r="AX14" s="191"/>
      <c r="AY14" s="191"/>
      <c r="AZ14" s="191"/>
      <c r="BA14" s="191"/>
      <c r="BB14" s="191"/>
      <c r="BC14" s="192"/>
      <c r="BD14" s="193"/>
      <c r="BE14" s="194"/>
      <c r="BF14" s="194"/>
      <c r="BG14" s="194"/>
      <c r="BH14" s="194"/>
      <c r="BI14" s="194"/>
      <c r="BJ14" s="195"/>
    </row>
    <row r="15" spans="1:63" ht="40.5" customHeight="1">
      <c r="A15" s="193"/>
      <c r="B15" s="194"/>
      <c r="C15" s="195"/>
      <c r="D15" s="196"/>
      <c r="E15" s="197"/>
      <c r="F15" s="197"/>
      <c r="G15" s="197"/>
      <c r="H15" s="197"/>
      <c r="I15" s="197"/>
      <c r="J15" s="197"/>
      <c r="K15" s="197"/>
      <c r="L15" s="197"/>
      <c r="M15" s="197"/>
      <c r="N15" s="197"/>
      <c r="O15" s="197"/>
      <c r="P15" s="197"/>
      <c r="Q15" s="198"/>
      <c r="R15" s="193"/>
      <c r="S15" s="194"/>
      <c r="T15" s="194"/>
      <c r="U15" s="195"/>
      <c r="V15" s="193"/>
      <c r="W15" s="194"/>
      <c r="X15" s="194"/>
      <c r="Y15" s="195"/>
      <c r="Z15" s="193"/>
      <c r="AA15" s="194"/>
      <c r="AB15" s="194"/>
      <c r="AC15" s="195"/>
      <c r="AD15" s="193"/>
      <c r="AE15" s="194"/>
      <c r="AF15" s="194"/>
      <c r="AG15" s="195"/>
      <c r="AH15" s="190"/>
      <c r="AI15" s="191"/>
      <c r="AJ15" s="191"/>
      <c r="AK15" s="191"/>
      <c r="AL15" s="191"/>
      <c r="AM15" s="191"/>
      <c r="AN15" s="191"/>
      <c r="AO15" s="191"/>
      <c r="AP15" s="191"/>
      <c r="AQ15" s="191"/>
      <c r="AR15" s="191"/>
      <c r="AS15" s="191"/>
      <c r="AT15" s="191"/>
      <c r="AU15" s="191"/>
      <c r="AV15" s="191"/>
      <c r="AW15" s="191"/>
      <c r="AX15" s="191"/>
      <c r="AY15" s="191"/>
      <c r="AZ15" s="191"/>
      <c r="BA15" s="191"/>
      <c r="BB15" s="191"/>
      <c r="BC15" s="192"/>
      <c r="BD15" s="193"/>
      <c r="BE15" s="194"/>
      <c r="BF15" s="194"/>
      <c r="BG15" s="194"/>
      <c r="BH15" s="194"/>
      <c r="BI15" s="194"/>
      <c r="BJ15" s="195"/>
    </row>
    <row r="16" spans="1:63" ht="40.5" customHeight="1">
      <c r="A16" s="193"/>
      <c r="B16" s="194"/>
      <c r="C16" s="195"/>
      <c r="D16" s="196"/>
      <c r="E16" s="197"/>
      <c r="F16" s="197"/>
      <c r="G16" s="197"/>
      <c r="H16" s="197"/>
      <c r="I16" s="197"/>
      <c r="J16" s="197"/>
      <c r="K16" s="197"/>
      <c r="L16" s="197"/>
      <c r="M16" s="197"/>
      <c r="N16" s="197"/>
      <c r="O16" s="197"/>
      <c r="P16" s="197"/>
      <c r="Q16" s="198"/>
      <c r="R16" s="193"/>
      <c r="S16" s="194"/>
      <c r="T16" s="194"/>
      <c r="U16" s="195"/>
      <c r="V16" s="193"/>
      <c r="W16" s="194"/>
      <c r="X16" s="194"/>
      <c r="Y16" s="195"/>
      <c r="Z16" s="193"/>
      <c r="AA16" s="194"/>
      <c r="AB16" s="194"/>
      <c r="AC16" s="195"/>
      <c r="AD16" s="193"/>
      <c r="AE16" s="194"/>
      <c r="AF16" s="194"/>
      <c r="AG16" s="195"/>
      <c r="AH16" s="190"/>
      <c r="AI16" s="191"/>
      <c r="AJ16" s="191"/>
      <c r="AK16" s="191"/>
      <c r="AL16" s="191"/>
      <c r="AM16" s="191"/>
      <c r="AN16" s="191"/>
      <c r="AO16" s="191"/>
      <c r="AP16" s="191"/>
      <c r="AQ16" s="191"/>
      <c r="AR16" s="191"/>
      <c r="AS16" s="191"/>
      <c r="AT16" s="191"/>
      <c r="AU16" s="191"/>
      <c r="AV16" s="191"/>
      <c r="AW16" s="191"/>
      <c r="AX16" s="191"/>
      <c r="AY16" s="191"/>
      <c r="AZ16" s="191"/>
      <c r="BA16" s="191"/>
      <c r="BB16" s="191"/>
      <c r="BC16" s="192"/>
      <c r="BD16" s="193"/>
      <c r="BE16" s="194"/>
      <c r="BF16" s="194"/>
      <c r="BG16" s="194"/>
      <c r="BH16" s="194"/>
      <c r="BI16" s="194"/>
      <c r="BJ16" s="195"/>
    </row>
    <row r="17" spans="1:62" ht="40.5" customHeight="1">
      <c r="A17" s="193"/>
      <c r="B17" s="194"/>
      <c r="C17" s="195"/>
      <c r="D17" s="196"/>
      <c r="E17" s="197"/>
      <c r="F17" s="197"/>
      <c r="G17" s="197"/>
      <c r="H17" s="197"/>
      <c r="I17" s="197"/>
      <c r="J17" s="197"/>
      <c r="K17" s="197"/>
      <c r="L17" s="197"/>
      <c r="M17" s="197"/>
      <c r="N17" s="197"/>
      <c r="O17" s="197"/>
      <c r="P17" s="197"/>
      <c r="Q17" s="198"/>
      <c r="R17" s="193"/>
      <c r="S17" s="194"/>
      <c r="T17" s="194"/>
      <c r="U17" s="195"/>
      <c r="V17" s="193"/>
      <c r="W17" s="194"/>
      <c r="X17" s="194"/>
      <c r="Y17" s="195"/>
      <c r="Z17" s="193"/>
      <c r="AA17" s="194"/>
      <c r="AB17" s="194"/>
      <c r="AC17" s="195"/>
      <c r="AD17" s="193"/>
      <c r="AE17" s="194"/>
      <c r="AF17" s="194"/>
      <c r="AG17" s="195"/>
      <c r="AH17" s="190"/>
      <c r="AI17" s="191"/>
      <c r="AJ17" s="191"/>
      <c r="AK17" s="191"/>
      <c r="AL17" s="191"/>
      <c r="AM17" s="191"/>
      <c r="AN17" s="191"/>
      <c r="AO17" s="191"/>
      <c r="AP17" s="191"/>
      <c r="AQ17" s="191"/>
      <c r="AR17" s="191"/>
      <c r="AS17" s="191"/>
      <c r="AT17" s="191"/>
      <c r="AU17" s="191"/>
      <c r="AV17" s="191"/>
      <c r="AW17" s="191"/>
      <c r="AX17" s="191"/>
      <c r="AY17" s="191"/>
      <c r="AZ17" s="191"/>
      <c r="BA17" s="191"/>
      <c r="BB17" s="191"/>
      <c r="BC17" s="192"/>
      <c r="BD17" s="193"/>
      <c r="BE17" s="194"/>
      <c r="BF17" s="194"/>
      <c r="BG17" s="194"/>
      <c r="BH17" s="194"/>
      <c r="BI17" s="194"/>
      <c r="BJ17" s="195"/>
    </row>
    <row r="18" spans="1:62" ht="40.5" customHeight="1">
      <c r="A18" s="193"/>
      <c r="B18" s="194"/>
      <c r="C18" s="195"/>
      <c r="D18" s="196"/>
      <c r="E18" s="197"/>
      <c r="F18" s="197"/>
      <c r="G18" s="197"/>
      <c r="H18" s="197"/>
      <c r="I18" s="197"/>
      <c r="J18" s="197"/>
      <c r="K18" s="197"/>
      <c r="L18" s="197"/>
      <c r="M18" s="197"/>
      <c r="N18" s="197"/>
      <c r="O18" s="197"/>
      <c r="P18" s="197"/>
      <c r="Q18" s="198"/>
      <c r="R18" s="193"/>
      <c r="S18" s="194"/>
      <c r="T18" s="194"/>
      <c r="U18" s="195"/>
      <c r="V18" s="193"/>
      <c r="W18" s="194"/>
      <c r="X18" s="194"/>
      <c r="Y18" s="195"/>
      <c r="Z18" s="193"/>
      <c r="AA18" s="194"/>
      <c r="AB18" s="194"/>
      <c r="AC18" s="195"/>
      <c r="AD18" s="193"/>
      <c r="AE18" s="194"/>
      <c r="AF18" s="194"/>
      <c r="AG18" s="195"/>
      <c r="AH18" s="190"/>
      <c r="AI18" s="191"/>
      <c r="AJ18" s="191"/>
      <c r="AK18" s="191"/>
      <c r="AL18" s="191"/>
      <c r="AM18" s="191"/>
      <c r="AN18" s="191"/>
      <c r="AO18" s="191"/>
      <c r="AP18" s="191"/>
      <c r="AQ18" s="191"/>
      <c r="AR18" s="191"/>
      <c r="AS18" s="191"/>
      <c r="AT18" s="191"/>
      <c r="AU18" s="191"/>
      <c r="AV18" s="191"/>
      <c r="AW18" s="191"/>
      <c r="AX18" s="191"/>
      <c r="AY18" s="191"/>
      <c r="AZ18" s="191"/>
      <c r="BA18" s="191"/>
      <c r="BB18" s="191"/>
      <c r="BC18" s="192"/>
      <c r="BD18" s="193"/>
      <c r="BE18" s="194"/>
      <c r="BF18" s="194"/>
      <c r="BG18" s="194"/>
      <c r="BH18" s="194"/>
      <c r="BI18" s="194"/>
      <c r="BJ18" s="195"/>
    </row>
    <row r="19" spans="1:62" ht="40.5" customHeight="1">
      <c r="A19" s="193"/>
      <c r="B19" s="194"/>
      <c r="C19" s="195"/>
      <c r="D19" s="196"/>
      <c r="E19" s="197"/>
      <c r="F19" s="197"/>
      <c r="G19" s="197"/>
      <c r="H19" s="197"/>
      <c r="I19" s="197"/>
      <c r="J19" s="197"/>
      <c r="K19" s="197"/>
      <c r="L19" s="197"/>
      <c r="M19" s="197"/>
      <c r="N19" s="197"/>
      <c r="O19" s="197"/>
      <c r="P19" s="197"/>
      <c r="Q19" s="198"/>
      <c r="R19" s="193"/>
      <c r="S19" s="194"/>
      <c r="T19" s="194"/>
      <c r="U19" s="195"/>
      <c r="V19" s="193"/>
      <c r="W19" s="194"/>
      <c r="X19" s="194"/>
      <c r="Y19" s="195"/>
      <c r="Z19" s="193"/>
      <c r="AA19" s="194"/>
      <c r="AB19" s="194"/>
      <c r="AC19" s="195"/>
      <c r="AD19" s="193"/>
      <c r="AE19" s="194"/>
      <c r="AF19" s="194"/>
      <c r="AG19" s="195"/>
      <c r="AH19" s="190"/>
      <c r="AI19" s="191"/>
      <c r="AJ19" s="191"/>
      <c r="AK19" s="191"/>
      <c r="AL19" s="191"/>
      <c r="AM19" s="191"/>
      <c r="AN19" s="191"/>
      <c r="AO19" s="191"/>
      <c r="AP19" s="191"/>
      <c r="AQ19" s="191"/>
      <c r="AR19" s="191"/>
      <c r="AS19" s="191"/>
      <c r="AT19" s="191"/>
      <c r="AU19" s="191"/>
      <c r="AV19" s="191"/>
      <c r="AW19" s="191"/>
      <c r="AX19" s="191"/>
      <c r="AY19" s="191"/>
      <c r="AZ19" s="191"/>
      <c r="BA19" s="191"/>
      <c r="BB19" s="191"/>
      <c r="BC19" s="192"/>
      <c r="BD19" s="193"/>
      <c r="BE19" s="194"/>
      <c r="BF19" s="194"/>
      <c r="BG19" s="194"/>
      <c r="BH19" s="194"/>
      <c r="BI19" s="194"/>
      <c r="BJ19" s="195"/>
    </row>
    <row r="20" spans="1:62" ht="40.5" customHeight="1">
      <c r="A20" s="193"/>
      <c r="B20" s="194"/>
      <c r="C20" s="195"/>
      <c r="D20" s="196"/>
      <c r="E20" s="197"/>
      <c r="F20" s="197"/>
      <c r="G20" s="197"/>
      <c r="H20" s="197"/>
      <c r="I20" s="197"/>
      <c r="J20" s="197"/>
      <c r="K20" s="197"/>
      <c r="L20" s="197"/>
      <c r="M20" s="197"/>
      <c r="N20" s="197"/>
      <c r="O20" s="197"/>
      <c r="P20" s="197"/>
      <c r="Q20" s="198"/>
      <c r="R20" s="193"/>
      <c r="S20" s="194"/>
      <c r="T20" s="194"/>
      <c r="U20" s="195"/>
      <c r="V20" s="193"/>
      <c r="W20" s="194"/>
      <c r="X20" s="194"/>
      <c r="Y20" s="195"/>
      <c r="Z20" s="193"/>
      <c r="AA20" s="194"/>
      <c r="AB20" s="194"/>
      <c r="AC20" s="195"/>
      <c r="AD20" s="193"/>
      <c r="AE20" s="194"/>
      <c r="AF20" s="194"/>
      <c r="AG20" s="195"/>
      <c r="AH20" s="190"/>
      <c r="AI20" s="191"/>
      <c r="AJ20" s="191"/>
      <c r="AK20" s="191"/>
      <c r="AL20" s="191"/>
      <c r="AM20" s="191"/>
      <c r="AN20" s="191"/>
      <c r="AO20" s="191"/>
      <c r="AP20" s="191"/>
      <c r="AQ20" s="191"/>
      <c r="AR20" s="191"/>
      <c r="AS20" s="191"/>
      <c r="AT20" s="191"/>
      <c r="AU20" s="191"/>
      <c r="AV20" s="191"/>
      <c r="AW20" s="191"/>
      <c r="AX20" s="191"/>
      <c r="AY20" s="191"/>
      <c r="AZ20" s="191"/>
      <c r="BA20" s="191"/>
      <c r="BB20" s="191"/>
      <c r="BC20" s="192"/>
      <c r="BD20" s="193"/>
      <c r="BE20" s="194"/>
      <c r="BF20" s="194"/>
      <c r="BG20" s="194"/>
      <c r="BH20" s="194"/>
      <c r="BI20" s="194"/>
      <c r="BJ20" s="195"/>
    </row>
    <row r="21" spans="1:62" ht="40.5" customHeight="1">
      <c r="A21" s="193"/>
      <c r="B21" s="194"/>
      <c r="C21" s="195"/>
      <c r="D21" s="196"/>
      <c r="E21" s="197"/>
      <c r="F21" s="197"/>
      <c r="G21" s="197"/>
      <c r="H21" s="197"/>
      <c r="I21" s="197"/>
      <c r="J21" s="197"/>
      <c r="K21" s="197"/>
      <c r="L21" s="197"/>
      <c r="M21" s="197"/>
      <c r="N21" s="197"/>
      <c r="O21" s="197"/>
      <c r="P21" s="197"/>
      <c r="Q21" s="198"/>
      <c r="R21" s="193"/>
      <c r="S21" s="194"/>
      <c r="T21" s="194"/>
      <c r="U21" s="195"/>
      <c r="V21" s="193"/>
      <c r="W21" s="194"/>
      <c r="X21" s="194"/>
      <c r="Y21" s="195"/>
      <c r="Z21" s="193"/>
      <c r="AA21" s="194"/>
      <c r="AB21" s="194"/>
      <c r="AC21" s="195"/>
      <c r="AD21" s="193"/>
      <c r="AE21" s="194"/>
      <c r="AF21" s="194"/>
      <c r="AG21" s="195"/>
      <c r="AH21" s="190"/>
      <c r="AI21" s="191"/>
      <c r="AJ21" s="191"/>
      <c r="AK21" s="191"/>
      <c r="AL21" s="191"/>
      <c r="AM21" s="191"/>
      <c r="AN21" s="191"/>
      <c r="AO21" s="191"/>
      <c r="AP21" s="191"/>
      <c r="AQ21" s="191"/>
      <c r="AR21" s="191"/>
      <c r="AS21" s="191"/>
      <c r="AT21" s="191"/>
      <c r="AU21" s="191"/>
      <c r="AV21" s="191"/>
      <c r="AW21" s="191"/>
      <c r="AX21" s="191"/>
      <c r="AY21" s="191"/>
      <c r="AZ21" s="191"/>
      <c r="BA21" s="191"/>
      <c r="BB21" s="191"/>
      <c r="BC21" s="192"/>
      <c r="BD21" s="193"/>
      <c r="BE21" s="194"/>
      <c r="BF21" s="194"/>
      <c r="BG21" s="194"/>
      <c r="BH21" s="194"/>
      <c r="BI21" s="194"/>
      <c r="BJ21" s="195"/>
    </row>
    <row r="22" spans="1:62" ht="40.5" customHeight="1">
      <c r="A22" s="193"/>
      <c r="B22" s="194"/>
      <c r="C22" s="195"/>
      <c r="D22" s="196"/>
      <c r="E22" s="197"/>
      <c r="F22" s="197"/>
      <c r="G22" s="197"/>
      <c r="H22" s="197"/>
      <c r="I22" s="197"/>
      <c r="J22" s="197"/>
      <c r="K22" s="197"/>
      <c r="L22" s="197"/>
      <c r="M22" s="197"/>
      <c r="N22" s="197"/>
      <c r="O22" s="197"/>
      <c r="P22" s="197"/>
      <c r="Q22" s="198"/>
      <c r="R22" s="193"/>
      <c r="S22" s="194"/>
      <c r="T22" s="194"/>
      <c r="U22" s="195"/>
      <c r="V22" s="193"/>
      <c r="W22" s="194"/>
      <c r="X22" s="194"/>
      <c r="Y22" s="195"/>
      <c r="Z22" s="193"/>
      <c r="AA22" s="194"/>
      <c r="AB22" s="194"/>
      <c r="AC22" s="195"/>
      <c r="AD22" s="193"/>
      <c r="AE22" s="194"/>
      <c r="AF22" s="194"/>
      <c r="AG22" s="195"/>
      <c r="AH22" s="190"/>
      <c r="AI22" s="191"/>
      <c r="AJ22" s="191"/>
      <c r="AK22" s="191"/>
      <c r="AL22" s="191"/>
      <c r="AM22" s="191"/>
      <c r="AN22" s="191"/>
      <c r="AO22" s="191"/>
      <c r="AP22" s="191"/>
      <c r="AQ22" s="191"/>
      <c r="AR22" s="191"/>
      <c r="AS22" s="191"/>
      <c r="AT22" s="191"/>
      <c r="AU22" s="191"/>
      <c r="AV22" s="191"/>
      <c r="AW22" s="191"/>
      <c r="AX22" s="191"/>
      <c r="AY22" s="191"/>
      <c r="AZ22" s="191"/>
      <c r="BA22" s="191"/>
      <c r="BB22" s="191"/>
      <c r="BC22" s="192"/>
      <c r="BD22" s="193"/>
      <c r="BE22" s="194"/>
      <c r="BF22" s="194"/>
      <c r="BG22" s="194"/>
      <c r="BH22" s="194"/>
      <c r="BI22" s="194"/>
      <c r="BJ22" s="195"/>
    </row>
    <row r="23" spans="1:62" ht="40.5" customHeight="1">
      <c r="A23" s="193"/>
      <c r="B23" s="194"/>
      <c r="C23" s="195"/>
      <c r="D23" s="196"/>
      <c r="E23" s="197"/>
      <c r="F23" s="197"/>
      <c r="G23" s="197"/>
      <c r="H23" s="197"/>
      <c r="I23" s="197"/>
      <c r="J23" s="197"/>
      <c r="K23" s="197"/>
      <c r="L23" s="197"/>
      <c r="M23" s="197"/>
      <c r="N23" s="197"/>
      <c r="O23" s="197"/>
      <c r="P23" s="197"/>
      <c r="Q23" s="198"/>
      <c r="R23" s="193"/>
      <c r="S23" s="194"/>
      <c r="T23" s="194"/>
      <c r="U23" s="195"/>
      <c r="V23" s="193"/>
      <c r="W23" s="194"/>
      <c r="X23" s="194"/>
      <c r="Y23" s="195"/>
      <c r="Z23" s="193"/>
      <c r="AA23" s="194"/>
      <c r="AB23" s="194"/>
      <c r="AC23" s="195"/>
      <c r="AD23" s="193"/>
      <c r="AE23" s="194"/>
      <c r="AF23" s="194"/>
      <c r="AG23" s="195"/>
      <c r="AH23" s="190"/>
      <c r="AI23" s="191"/>
      <c r="AJ23" s="191"/>
      <c r="AK23" s="191"/>
      <c r="AL23" s="191"/>
      <c r="AM23" s="191"/>
      <c r="AN23" s="191"/>
      <c r="AO23" s="191"/>
      <c r="AP23" s="191"/>
      <c r="AQ23" s="191"/>
      <c r="AR23" s="191"/>
      <c r="AS23" s="191"/>
      <c r="AT23" s="191"/>
      <c r="AU23" s="191"/>
      <c r="AV23" s="191"/>
      <c r="AW23" s="191"/>
      <c r="AX23" s="191"/>
      <c r="AY23" s="191"/>
      <c r="AZ23" s="191"/>
      <c r="BA23" s="191"/>
      <c r="BB23" s="191"/>
      <c r="BC23" s="192"/>
      <c r="BD23" s="193"/>
      <c r="BE23" s="194"/>
      <c r="BF23" s="194"/>
      <c r="BG23" s="194"/>
      <c r="BH23" s="194"/>
      <c r="BI23" s="194"/>
      <c r="BJ23" s="195"/>
    </row>
    <row r="24" spans="1:62" ht="40.5" customHeight="1">
      <c r="A24" s="193"/>
      <c r="B24" s="194"/>
      <c r="C24" s="195"/>
      <c r="D24" s="196"/>
      <c r="E24" s="197"/>
      <c r="F24" s="197"/>
      <c r="G24" s="197"/>
      <c r="H24" s="197"/>
      <c r="I24" s="197"/>
      <c r="J24" s="197"/>
      <c r="K24" s="197"/>
      <c r="L24" s="197"/>
      <c r="M24" s="197"/>
      <c r="N24" s="197"/>
      <c r="O24" s="197"/>
      <c r="P24" s="197"/>
      <c r="Q24" s="198"/>
      <c r="R24" s="193"/>
      <c r="S24" s="194"/>
      <c r="T24" s="194"/>
      <c r="U24" s="195"/>
      <c r="V24" s="193"/>
      <c r="W24" s="194"/>
      <c r="X24" s="194"/>
      <c r="Y24" s="195"/>
      <c r="Z24" s="193"/>
      <c r="AA24" s="194"/>
      <c r="AB24" s="194"/>
      <c r="AC24" s="195"/>
      <c r="AD24" s="193"/>
      <c r="AE24" s="194"/>
      <c r="AF24" s="194"/>
      <c r="AG24" s="195"/>
      <c r="AH24" s="190"/>
      <c r="AI24" s="191"/>
      <c r="AJ24" s="191"/>
      <c r="AK24" s="191"/>
      <c r="AL24" s="191"/>
      <c r="AM24" s="191"/>
      <c r="AN24" s="191"/>
      <c r="AO24" s="191"/>
      <c r="AP24" s="191"/>
      <c r="AQ24" s="191"/>
      <c r="AR24" s="191"/>
      <c r="AS24" s="191"/>
      <c r="AT24" s="191"/>
      <c r="AU24" s="191"/>
      <c r="AV24" s="191"/>
      <c r="AW24" s="191"/>
      <c r="AX24" s="191"/>
      <c r="AY24" s="191"/>
      <c r="AZ24" s="191"/>
      <c r="BA24" s="191"/>
      <c r="BB24" s="191"/>
      <c r="BC24" s="192"/>
      <c r="BD24" s="193"/>
      <c r="BE24" s="194"/>
      <c r="BF24" s="194"/>
      <c r="BG24" s="194"/>
      <c r="BH24" s="194"/>
      <c r="BI24" s="194"/>
      <c r="BJ24" s="195"/>
    </row>
    <row r="25" spans="1:62" ht="40.5" customHeight="1">
      <c r="A25" s="193"/>
      <c r="B25" s="194"/>
      <c r="C25" s="195"/>
      <c r="D25" s="196"/>
      <c r="E25" s="197"/>
      <c r="F25" s="197"/>
      <c r="G25" s="197"/>
      <c r="H25" s="197"/>
      <c r="I25" s="197"/>
      <c r="J25" s="197"/>
      <c r="K25" s="197"/>
      <c r="L25" s="197"/>
      <c r="M25" s="197"/>
      <c r="N25" s="197"/>
      <c r="O25" s="197"/>
      <c r="P25" s="197"/>
      <c r="Q25" s="198"/>
      <c r="R25" s="193"/>
      <c r="S25" s="194"/>
      <c r="T25" s="194"/>
      <c r="U25" s="195"/>
      <c r="V25" s="193"/>
      <c r="W25" s="194"/>
      <c r="X25" s="194"/>
      <c r="Y25" s="195"/>
      <c r="Z25" s="193"/>
      <c r="AA25" s="194"/>
      <c r="AB25" s="194"/>
      <c r="AC25" s="195"/>
      <c r="AD25" s="193"/>
      <c r="AE25" s="194"/>
      <c r="AF25" s="194"/>
      <c r="AG25" s="195"/>
      <c r="AH25" s="190"/>
      <c r="AI25" s="191"/>
      <c r="AJ25" s="191"/>
      <c r="AK25" s="191"/>
      <c r="AL25" s="191"/>
      <c r="AM25" s="191"/>
      <c r="AN25" s="191"/>
      <c r="AO25" s="191"/>
      <c r="AP25" s="191"/>
      <c r="AQ25" s="191"/>
      <c r="AR25" s="191"/>
      <c r="AS25" s="191"/>
      <c r="AT25" s="191"/>
      <c r="AU25" s="191"/>
      <c r="AV25" s="191"/>
      <c r="AW25" s="191"/>
      <c r="AX25" s="191"/>
      <c r="AY25" s="191"/>
      <c r="AZ25" s="191"/>
      <c r="BA25" s="191"/>
      <c r="BB25" s="191"/>
      <c r="BC25" s="192"/>
      <c r="BD25" s="193"/>
      <c r="BE25" s="194"/>
      <c r="BF25" s="194"/>
      <c r="BG25" s="194"/>
      <c r="BH25" s="194"/>
      <c r="BI25" s="194"/>
      <c r="BJ25" s="195"/>
    </row>
    <row r="26" spans="1:62" ht="40.5" customHeight="1">
      <c r="A26" s="193"/>
      <c r="B26" s="194"/>
      <c r="C26" s="195"/>
      <c r="D26" s="196"/>
      <c r="E26" s="197"/>
      <c r="F26" s="197"/>
      <c r="G26" s="197"/>
      <c r="H26" s="197"/>
      <c r="I26" s="197"/>
      <c r="J26" s="197"/>
      <c r="K26" s="197"/>
      <c r="L26" s="197"/>
      <c r="M26" s="197"/>
      <c r="N26" s="197"/>
      <c r="O26" s="197"/>
      <c r="P26" s="197"/>
      <c r="Q26" s="198"/>
      <c r="R26" s="193"/>
      <c r="S26" s="194"/>
      <c r="T26" s="194"/>
      <c r="U26" s="195"/>
      <c r="V26" s="193"/>
      <c r="W26" s="194"/>
      <c r="X26" s="194"/>
      <c r="Y26" s="195"/>
      <c r="Z26" s="193"/>
      <c r="AA26" s="194"/>
      <c r="AB26" s="194"/>
      <c r="AC26" s="195"/>
      <c r="AD26" s="193"/>
      <c r="AE26" s="194"/>
      <c r="AF26" s="194"/>
      <c r="AG26" s="195"/>
      <c r="AH26" s="190"/>
      <c r="AI26" s="191"/>
      <c r="AJ26" s="191"/>
      <c r="AK26" s="191"/>
      <c r="AL26" s="191"/>
      <c r="AM26" s="191"/>
      <c r="AN26" s="191"/>
      <c r="AO26" s="191"/>
      <c r="AP26" s="191"/>
      <c r="AQ26" s="191"/>
      <c r="AR26" s="191"/>
      <c r="AS26" s="191"/>
      <c r="AT26" s="191"/>
      <c r="AU26" s="191"/>
      <c r="AV26" s="191"/>
      <c r="AW26" s="191"/>
      <c r="AX26" s="191"/>
      <c r="AY26" s="191"/>
      <c r="AZ26" s="191"/>
      <c r="BA26" s="191"/>
      <c r="BB26" s="191"/>
      <c r="BC26" s="192"/>
      <c r="BD26" s="193"/>
      <c r="BE26" s="194"/>
      <c r="BF26" s="194"/>
      <c r="BG26" s="194"/>
      <c r="BH26" s="194"/>
      <c r="BI26" s="194"/>
      <c r="BJ26" s="195"/>
    </row>
    <row r="27" spans="1:62" ht="40.5" customHeight="1">
      <c r="A27" s="193"/>
      <c r="B27" s="194"/>
      <c r="C27" s="195"/>
      <c r="D27" s="196"/>
      <c r="E27" s="197"/>
      <c r="F27" s="197"/>
      <c r="G27" s="197"/>
      <c r="H27" s="197"/>
      <c r="I27" s="197"/>
      <c r="J27" s="197"/>
      <c r="K27" s="197"/>
      <c r="L27" s="197"/>
      <c r="M27" s="197"/>
      <c r="N27" s="197"/>
      <c r="O27" s="197"/>
      <c r="P27" s="197"/>
      <c r="Q27" s="198"/>
      <c r="R27" s="193"/>
      <c r="S27" s="194"/>
      <c r="T27" s="194"/>
      <c r="U27" s="195"/>
      <c r="V27" s="193"/>
      <c r="W27" s="194"/>
      <c r="X27" s="194"/>
      <c r="Y27" s="195"/>
      <c r="Z27" s="193"/>
      <c r="AA27" s="194"/>
      <c r="AB27" s="194"/>
      <c r="AC27" s="195"/>
      <c r="AD27" s="193"/>
      <c r="AE27" s="194"/>
      <c r="AF27" s="194"/>
      <c r="AG27" s="195"/>
      <c r="AH27" s="190"/>
      <c r="AI27" s="191"/>
      <c r="AJ27" s="191"/>
      <c r="AK27" s="191"/>
      <c r="AL27" s="191"/>
      <c r="AM27" s="191"/>
      <c r="AN27" s="191"/>
      <c r="AO27" s="191"/>
      <c r="AP27" s="191"/>
      <c r="AQ27" s="191"/>
      <c r="AR27" s="191"/>
      <c r="AS27" s="191"/>
      <c r="AT27" s="191"/>
      <c r="AU27" s="191"/>
      <c r="AV27" s="191"/>
      <c r="AW27" s="191"/>
      <c r="AX27" s="191"/>
      <c r="AY27" s="191"/>
      <c r="AZ27" s="191"/>
      <c r="BA27" s="191"/>
      <c r="BB27" s="191"/>
      <c r="BC27" s="192"/>
      <c r="BD27" s="193"/>
      <c r="BE27" s="194"/>
      <c r="BF27" s="194"/>
      <c r="BG27" s="194"/>
      <c r="BH27" s="194"/>
      <c r="BI27" s="194"/>
      <c r="BJ27" s="195"/>
    </row>
    <row r="28" spans="1:62" ht="40.5" customHeight="1">
      <c r="A28" s="193"/>
      <c r="B28" s="194"/>
      <c r="C28" s="195"/>
      <c r="D28" s="196"/>
      <c r="E28" s="197"/>
      <c r="F28" s="197"/>
      <c r="G28" s="197"/>
      <c r="H28" s="197"/>
      <c r="I28" s="197"/>
      <c r="J28" s="197"/>
      <c r="K28" s="197"/>
      <c r="L28" s="197"/>
      <c r="M28" s="197"/>
      <c r="N28" s="197"/>
      <c r="O28" s="197"/>
      <c r="P28" s="197"/>
      <c r="Q28" s="198"/>
      <c r="R28" s="193"/>
      <c r="S28" s="194"/>
      <c r="T28" s="194"/>
      <c r="U28" s="195"/>
      <c r="V28" s="193"/>
      <c r="W28" s="194"/>
      <c r="X28" s="194"/>
      <c r="Y28" s="195"/>
      <c r="Z28" s="193"/>
      <c r="AA28" s="194"/>
      <c r="AB28" s="194"/>
      <c r="AC28" s="195"/>
      <c r="AD28" s="193"/>
      <c r="AE28" s="194"/>
      <c r="AF28" s="194"/>
      <c r="AG28" s="195"/>
      <c r="AH28" s="190"/>
      <c r="AI28" s="191"/>
      <c r="AJ28" s="191"/>
      <c r="AK28" s="191"/>
      <c r="AL28" s="191"/>
      <c r="AM28" s="191"/>
      <c r="AN28" s="191"/>
      <c r="AO28" s="191"/>
      <c r="AP28" s="191"/>
      <c r="AQ28" s="191"/>
      <c r="AR28" s="191"/>
      <c r="AS28" s="191"/>
      <c r="AT28" s="191"/>
      <c r="AU28" s="191"/>
      <c r="AV28" s="191"/>
      <c r="AW28" s="191"/>
      <c r="AX28" s="191"/>
      <c r="AY28" s="191"/>
      <c r="AZ28" s="191"/>
      <c r="BA28" s="191"/>
      <c r="BB28" s="191"/>
      <c r="BC28" s="192"/>
      <c r="BD28" s="193"/>
      <c r="BE28" s="194"/>
      <c r="BF28" s="194"/>
      <c r="BG28" s="194"/>
      <c r="BH28" s="194"/>
      <c r="BI28" s="194"/>
      <c r="BJ28" s="195"/>
    </row>
    <row r="29" spans="1:62" ht="40.5" customHeight="1">
      <c r="A29" s="193"/>
      <c r="B29" s="194"/>
      <c r="C29" s="195"/>
      <c r="D29" s="196"/>
      <c r="E29" s="197"/>
      <c r="F29" s="197"/>
      <c r="G29" s="197"/>
      <c r="H29" s="197"/>
      <c r="I29" s="197"/>
      <c r="J29" s="197"/>
      <c r="K29" s="197"/>
      <c r="L29" s="197"/>
      <c r="M29" s="197"/>
      <c r="N29" s="197"/>
      <c r="O29" s="197"/>
      <c r="P29" s="197"/>
      <c r="Q29" s="198"/>
      <c r="R29" s="193"/>
      <c r="S29" s="194"/>
      <c r="T29" s="194"/>
      <c r="U29" s="195"/>
      <c r="V29" s="193"/>
      <c r="W29" s="194"/>
      <c r="X29" s="194"/>
      <c r="Y29" s="195"/>
      <c r="Z29" s="193"/>
      <c r="AA29" s="194"/>
      <c r="AB29" s="194"/>
      <c r="AC29" s="195"/>
      <c r="AD29" s="193"/>
      <c r="AE29" s="194"/>
      <c r="AF29" s="194"/>
      <c r="AG29" s="195"/>
      <c r="AH29" s="190"/>
      <c r="AI29" s="191"/>
      <c r="AJ29" s="191"/>
      <c r="AK29" s="191"/>
      <c r="AL29" s="191"/>
      <c r="AM29" s="191"/>
      <c r="AN29" s="191"/>
      <c r="AO29" s="191"/>
      <c r="AP29" s="191"/>
      <c r="AQ29" s="191"/>
      <c r="AR29" s="191"/>
      <c r="AS29" s="191"/>
      <c r="AT29" s="191"/>
      <c r="AU29" s="191"/>
      <c r="AV29" s="191"/>
      <c r="AW29" s="191"/>
      <c r="AX29" s="191"/>
      <c r="AY29" s="191"/>
      <c r="AZ29" s="191"/>
      <c r="BA29" s="191"/>
      <c r="BB29" s="191"/>
      <c r="BC29" s="192"/>
      <c r="BD29" s="193"/>
      <c r="BE29" s="194"/>
      <c r="BF29" s="194"/>
      <c r="BG29" s="194"/>
      <c r="BH29" s="194"/>
      <c r="BI29" s="194"/>
      <c r="BJ29" s="195"/>
    </row>
    <row r="30" spans="1:62" ht="40.5" customHeight="1">
      <c r="A30" s="193"/>
      <c r="B30" s="194"/>
      <c r="C30" s="195"/>
      <c r="D30" s="196"/>
      <c r="E30" s="197"/>
      <c r="F30" s="197"/>
      <c r="G30" s="197"/>
      <c r="H30" s="197"/>
      <c r="I30" s="197"/>
      <c r="J30" s="197"/>
      <c r="K30" s="197"/>
      <c r="L30" s="197"/>
      <c r="M30" s="197"/>
      <c r="N30" s="197"/>
      <c r="O30" s="197"/>
      <c r="P30" s="197"/>
      <c r="Q30" s="198"/>
      <c r="R30" s="193"/>
      <c r="S30" s="194"/>
      <c r="T30" s="194"/>
      <c r="U30" s="195"/>
      <c r="V30" s="193"/>
      <c r="W30" s="194"/>
      <c r="X30" s="194"/>
      <c r="Y30" s="195"/>
      <c r="Z30" s="193"/>
      <c r="AA30" s="194"/>
      <c r="AB30" s="194"/>
      <c r="AC30" s="195"/>
      <c r="AD30" s="193"/>
      <c r="AE30" s="194"/>
      <c r="AF30" s="194"/>
      <c r="AG30" s="195"/>
      <c r="AH30" s="190"/>
      <c r="AI30" s="191"/>
      <c r="AJ30" s="191"/>
      <c r="AK30" s="191"/>
      <c r="AL30" s="191"/>
      <c r="AM30" s="191"/>
      <c r="AN30" s="191"/>
      <c r="AO30" s="191"/>
      <c r="AP30" s="191"/>
      <c r="AQ30" s="191"/>
      <c r="AR30" s="191"/>
      <c r="AS30" s="191"/>
      <c r="AT30" s="191"/>
      <c r="AU30" s="191"/>
      <c r="AV30" s="191"/>
      <c r="AW30" s="191"/>
      <c r="AX30" s="191"/>
      <c r="AY30" s="191"/>
      <c r="AZ30" s="191"/>
      <c r="BA30" s="191"/>
      <c r="BB30" s="191"/>
      <c r="BC30" s="192"/>
      <c r="BD30" s="193"/>
      <c r="BE30" s="194"/>
      <c r="BF30" s="194"/>
      <c r="BG30" s="194"/>
      <c r="BH30" s="194"/>
      <c r="BI30" s="194"/>
      <c r="BJ30" s="195"/>
    </row>
    <row r="31" spans="1:62" ht="40.5" customHeight="1">
      <c r="A31" s="193"/>
      <c r="B31" s="194"/>
      <c r="C31" s="195"/>
      <c r="D31" s="196"/>
      <c r="E31" s="197"/>
      <c r="F31" s="197"/>
      <c r="G31" s="197"/>
      <c r="H31" s="197"/>
      <c r="I31" s="197"/>
      <c r="J31" s="197"/>
      <c r="K31" s="197"/>
      <c r="L31" s="197"/>
      <c r="M31" s="197"/>
      <c r="N31" s="197"/>
      <c r="O31" s="197"/>
      <c r="P31" s="197"/>
      <c r="Q31" s="198"/>
      <c r="R31" s="193"/>
      <c r="S31" s="194"/>
      <c r="T31" s="194"/>
      <c r="U31" s="195"/>
      <c r="V31" s="193"/>
      <c r="W31" s="194"/>
      <c r="X31" s="194"/>
      <c r="Y31" s="195"/>
      <c r="Z31" s="193"/>
      <c r="AA31" s="194"/>
      <c r="AB31" s="194"/>
      <c r="AC31" s="195"/>
      <c r="AD31" s="193"/>
      <c r="AE31" s="194"/>
      <c r="AF31" s="194"/>
      <c r="AG31" s="195"/>
      <c r="AH31" s="190"/>
      <c r="AI31" s="191"/>
      <c r="AJ31" s="191"/>
      <c r="AK31" s="191"/>
      <c r="AL31" s="191"/>
      <c r="AM31" s="191"/>
      <c r="AN31" s="191"/>
      <c r="AO31" s="191"/>
      <c r="AP31" s="191"/>
      <c r="AQ31" s="191"/>
      <c r="AR31" s="191"/>
      <c r="AS31" s="191"/>
      <c r="AT31" s="191"/>
      <c r="AU31" s="191"/>
      <c r="AV31" s="191"/>
      <c r="AW31" s="191"/>
      <c r="AX31" s="191"/>
      <c r="AY31" s="191"/>
      <c r="AZ31" s="191"/>
      <c r="BA31" s="191"/>
      <c r="BB31" s="191"/>
      <c r="BC31" s="192"/>
      <c r="BD31" s="193"/>
      <c r="BE31" s="194"/>
      <c r="BF31" s="194"/>
      <c r="BG31" s="194"/>
      <c r="BH31" s="194"/>
      <c r="BI31" s="194"/>
      <c r="BJ31" s="195"/>
    </row>
    <row r="32" spans="1:62" ht="40.5" customHeight="1">
      <c r="A32" s="202"/>
      <c r="B32" s="203"/>
      <c r="C32" s="204"/>
      <c r="D32" s="205"/>
      <c r="E32" s="206"/>
      <c r="F32" s="206"/>
      <c r="G32" s="206"/>
      <c r="H32" s="206"/>
      <c r="I32" s="206"/>
      <c r="J32" s="206"/>
      <c r="K32" s="206"/>
      <c r="L32" s="206"/>
      <c r="M32" s="206"/>
      <c r="N32" s="206"/>
      <c r="O32" s="206"/>
      <c r="P32" s="206"/>
      <c r="Q32" s="207"/>
      <c r="R32" s="202"/>
      <c r="S32" s="203"/>
      <c r="T32" s="203"/>
      <c r="U32" s="204"/>
      <c r="V32" s="202"/>
      <c r="W32" s="203"/>
      <c r="X32" s="203"/>
      <c r="Y32" s="204"/>
      <c r="Z32" s="202"/>
      <c r="AA32" s="203"/>
      <c r="AB32" s="203"/>
      <c r="AC32" s="204"/>
      <c r="AD32" s="202"/>
      <c r="AE32" s="203"/>
      <c r="AF32" s="203"/>
      <c r="AG32" s="204"/>
      <c r="AH32" s="199"/>
      <c r="AI32" s="200"/>
      <c r="AJ32" s="200"/>
      <c r="AK32" s="200"/>
      <c r="AL32" s="200"/>
      <c r="AM32" s="200"/>
      <c r="AN32" s="200"/>
      <c r="AO32" s="200"/>
      <c r="AP32" s="200"/>
      <c r="AQ32" s="200"/>
      <c r="AR32" s="200"/>
      <c r="AS32" s="200"/>
      <c r="AT32" s="200"/>
      <c r="AU32" s="200"/>
      <c r="AV32" s="200"/>
      <c r="AW32" s="200"/>
      <c r="AX32" s="200"/>
      <c r="AY32" s="200"/>
      <c r="AZ32" s="200"/>
      <c r="BA32" s="200"/>
      <c r="BB32" s="200"/>
      <c r="BC32" s="201"/>
      <c r="BD32" s="202"/>
      <c r="BE32" s="203"/>
      <c r="BF32" s="203"/>
      <c r="BG32" s="203"/>
      <c r="BH32" s="203"/>
      <c r="BI32" s="203"/>
      <c r="BJ32" s="204"/>
    </row>
    <row r="33" spans="2:19" s="10" customFormat="1" ht="6" customHeight="1">
      <c r="B33" s="9"/>
      <c r="C33" s="9"/>
      <c r="D33" s="9"/>
      <c r="E33" s="9"/>
      <c r="F33" s="9"/>
      <c r="G33" s="9"/>
      <c r="H33" s="9"/>
      <c r="I33" s="9"/>
      <c r="J33" s="9"/>
      <c r="K33" s="9"/>
      <c r="L33" s="9"/>
      <c r="M33" s="9"/>
      <c r="N33" s="9"/>
      <c r="O33" s="9"/>
      <c r="P33" s="9"/>
      <c r="Q33" s="9"/>
      <c r="R33" s="9"/>
      <c r="S33" s="9"/>
    </row>
    <row r="34" spans="2:19" ht="24" customHeight="1"/>
    <row r="35" spans="2:19" ht="24" customHeight="1"/>
    <row r="36" spans="2:19" ht="24" customHeight="1"/>
    <row r="37" spans="2:19" ht="24" customHeight="1"/>
    <row r="38" spans="2:19" ht="24" customHeight="1"/>
    <row r="39" spans="2:19" ht="17.100000000000001" customHeight="1"/>
    <row r="40" spans="2:19" ht="17.100000000000001" customHeight="1"/>
    <row r="41" spans="2:19" ht="17.100000000000001" customHeight="1"/>
    <row r="42" spans="2:19" ht="17.100000000000001" customHeight="1"/>
  </sheetData>
  <mergeCells count="213">
    <mergeCell ref="AH32:BC32"/>
    <mergeCell ref="BD32:BJ32"/>
    <mergeCell ref="A32:C32"/>
    <mergeCell ref="D32:Q32"/>
    <mergeCell ref="R32:U32"/>
    <mergeCell ref="V32:Y32"/>
    <mergeCell ref="Z32:AC32"/>
    <mergeCell ref="AD32:AG32"/>
    <mergeCell ref="AH30:BC30"/>
    <mergeCell ref="BD30:BJ30"/>
    <mergeCell ref="A31:C31"/>
    <mergeCell ref="D31:Q31"/>
    <mergeCell ref="R31:U31"/>
    <mergeCell ref="V31:Y31"/>
    <mergeCell ref="Z31:AC31"/>
    <mergeCell ref="AD31:AG31"/>
    <mergeCell ref="AH31:BC31"/>
    <mergeCell ref="BD31:BJ31"/>
    <mergeCell ref="A30:C30"/>
    <mergeCell ref="D30:Q30"/>
    <mergeCell ref="R30:U30"/>
    <mergeCell ref="V30:Y30"/>
    <mergeCell ref="Z30:AC30"/>
    <mergeCell ref="AD30:AG30"/>
    <mergeCell ref="AH28:BC28"/>
    <mergeCell ref="BD28:BJ28"/>
    <mergeCell ref="A29:C29"/>
    <mergeCell ref="D29:Q29"/>
    <mergeCell ref="R29:U29"/>
    <mergeCell ref="V29:Y29"/>
    <mergeCell ref="Z29:AC29"/>
    <mergeCell ref="AD29:AG29"/>
    <mergeCell ref="AH29:BC29"/>
    <mergeCell ref="BD29:BJ29"/>
    <mergeCell ref="A28:C28"/>
    <mergeCell ref="D28:Q28"/>
    <mergeCell ref="R28:U28"/>
    <mergeCell ref="V28:Y28"/>
    <mergeCell ref="Z28:AC28"/>
    <mergeCell ref="AD28:AG28"/>
    <mergeCell ref="AH26:BC26"/>
    <mergeCell ref="BD26:BJ26"/>
    <mergeCell ref="A27:C27"/>
    <mergeCell ref="D27:Q27"/>
    <mergeCell ref="R27:U27"/>
    <mergeCell ref="V27:Y27"/>
    <mergeCell ref="Z27:AC27"/>
    <mergeCell ref="AD27:AG27"/>
    <mergeCell ref="AH27:BC27"/>
    <mergeCell ref="BD27:BJ27"/>
    <mergeCell ref="A26:C26"/>
    <mergeCell ref="D26:Q26"/>
    <mergeCell ref="R26:U26"/>
    <mergeCell ref="V26:Y26"/>
    <mergeCell ref="Z26:AC26"/>
    <mergeCell ref="AD26:AG26"/>
    <mergeCell ref="AH24:BC24"/>
    <mergeCell ref="BD24:BJ24"/>
    <mergeCell ref="A25:C25"/>
    <mergeCell ref="D25:Q25"/>
    <mergeCell ref="R25:U25"/>
    <mergeCell ref="V25:Y25"/>
    <mergeCell ref="Z25:AC25"/>
    <mergeCell ref="AD25:AG25"/>
    <mergeCell ref="AH25:BC25"/>
    <mergeCell ref="BD25:BJ25"/>
    <mergeCell ref="A24:C24"/>
    <mergeCell ref="D24:Q24"/>
    <mergeCell ref="R24:U24"/>
    <mergeCell ref="V24:Y24"/>
    <mergeCell ref="Z24:AC24"/>
    <mergeCell ref="AD24:AG24"/>
    <mergeCell ref="AH22:BC22"/>
    <mergeCell ref="BD22:BJ22"/>
    <mergeCell ref="A23:C23"/>
    <mergeCell ref="D23:Q23"/>
    <mergeCell ref="R23:U23"/>
    <mergeCell ref="V23:Y23"/>
    <mergeCell ref="Z23:AC23"/>
    <mergeCell ref="AD23:AG23"/>
    <mergeCell ref="AH23:BC23"/>
    <mergeCell ref="BD23:BJ23"/>
    <mergeCell ref="A22:C22"/>
    <mergeCell ref="D22:Q22"/>
    <mergeCell ref="R22:U22"/>
    <mergeCell ref="V22:Y22"/>
    <mergeCell ref="Z22:AC22"/>
    <mergeCell ref="AD22:AG22"/>
    <mergeCell ref="AH20:BC20"/>
    <mergeCell ref="BD20:BJ20"/>
    <mergeCell ref="A21:C21"/>
    <mergeCell ref="D21:Q21"/>
    <mergeCell ref="R21:U21"/>
    <mergeCell ref="V21:Y21"/>
    <mergeCell ref="Z21:AC21"/>
    <mergeCell ref="AD21:AG21"/>
    <mergeCell ref="AH21:BC21"/>
    <mergeCell ref="BD21:BJ21"/>
    <mergeCell ref="A20:C20"/>
    <mergeCell ref="D20:Q20"/>
    <mergeCell ref="R20:U20"/>
    <mergeCell ref="V20:Y20"/>
    <mergeCell ref="Z20:AC20"/>
    <mergeCell ref="AD20:AG20"/>
    <mergeCell ref="AH18:BC18"/>
    <mergeCell ref="BD18:BJ18"/>
    <mergeCell ref="A19:C19"/>
    <mergeCell ref="D19:Q19"/>
    <mergeCell ref="R19:U19"/>
    <mergeCell ref="V19:Y19"/>
    <mergeCell ref="Z19:AC19"/>
    <mergeCell ref="AD19:AG19"/>
    <mergeCell ref="AH19:BC19"/>
    <mergeCell ref="BD19:BJ19"/>
    <mergeCell ref="A18:C18"/>
    <mergeCell ref="D18:Q18"/>
    <mergeCell ref="R18:U18"/>
    <mergeCell ref="V18:Y18"/>
    <mergeCell ref="Z18:AC18"/>
    <mergeCell ref="AD18:AG18"/>
    <mergeCell ref="AH16:BC16"/>
    <mergeCell ref="BD16:BJ16"/>
    <mergeCell ref="A17:C17"/>
    <mergeCell ref="D17:Q17"/>
    <mergeCell ref="R17:U17"/>
    <mergeCell ref="V17:Y17"/>
    <mergeCell ref="Z17:AC17"/>
    <mergeCell ref="AD17:AG17"/>
    <mergeCell ref="AH17:BC17"/>
    <mergeCell ref="BD17:BJ17"/>
    <mergeCell ref="A16:C16"/>
    <mergeCell ref="D16:Q16"/>
    <mergeCell ref="R16:U16"/>
    <mergeCell ref="V16:Y16"/>
    <mergeCell ref="Z16:AC16"/>
    <mergeCell ref="AD16:AG16"/>
    <mergeCell ref="AH14:BC14"/>
    <mergeCell ref="BD14:BJ14"/>
    <mergeCell ref="A15:C15"/>
    <mergeCell ref="D15:Q15"/>
    <mergeCell ref="R15:U15"/>
    <mergeCell ref="V15:Y15"/>
    <mergeCell ref="Z15:AC15"/>
    <mergeCell ref="AD15:AG15"/>
    <mergeCell ref="AH15:BC15"/>
    <mergeCell ref="BD15:BJ15"/>
    <mergeCell ref="A14:C14"/>
    <mergeCell ref="D14:Q14"/>
    <mergeCell ref="R14:U14"/>
    <mergeCell ref="V14:Y14"/>
    <mergeCell ref="Z14:AC14"/>
    <mergeCell ref="AD14:AG14"/>
    <mergeCell ref="AH12:BC12"/>
    <mergeCell ref="BD12:BJ12"/>
    <mergeCell ref="A13:C13"/>
    <mergeCell ref="D13:Q13"/>
    <mergeCell ref="R13:U13"/>
    <mergeCell ref="V13:Y13"/>
    <mergeCell ref="Z13:AC13"/>
    <mergeCell ref="AD13:AG13"/>
    <mergeCell ref="AH13:BC13"/>
    <mergeCell ref="BD13:BJ13"/>
    <mergeCell ref="A12:C12"/>
    <mergeCell ref="D12:Q12"/>
    <mergeCell ref="R12:U12"/>
    <mergeCell ref="V12:Y12"/>
    <mergeCell ref="Z12:AC12"/>
    <mergeCell ref="AD12:AG12"/>
    <mergeCell ref="AH10:BC10"/>
    <mergeCell ref="BD10:BJ10"/>
    <mergeCell ref="A11:C11"/>
    <mergeCell ref="D11:Q11"/>
    <mergeCell ref="R11:U11"/>
    <mergeCell ref="V11:Y11"/>
    <mergeCell ref="Z11:AC11"/>
    <mergeCell ref="AD11:AG11"/>
    <mergeCell ref="AH11:BC11"/>
    <mergeCell ref="BD11:BJ11"/>
    <mergeCell ref="A10:C10"/>
    <mergeCell ref="D10:Q10"/>
    <mergeCell ref="R10:U10"/>
    <mergeCell ref="V10:Y10"/>
    <mergeCell ref="Z10:AC10"/>
    <mergeCell ref="AD10:AG10"/>
    <mergeCell ref="AH8:BC8"/>
    <mergeCell ref="BD8:BJ8"/>
    <mergeCell ref="A9:C9"/>
    <mergeCell ref="D9:Q9"/>
    <mergeCell ref="R9:U9"/>
    <mergeCell ref="V9:Y9"/>
    <mergeCell ref="Z9:AC9"/>
    <mergeCell ref="AD9:AG9"/>
    <mergeCell ref="AH9:BC9"/>
    <mergeCell ref="BD9:BJ9"/>
    <mergeCell ref="A8:C8"/>
    <mergeCell ref="D8:Q8"/>
    <mergeCell ref="R8:U8"/>
    <mergeCell ref="V8:Y8"/>
    <mergeCell ref="Z8:AC8"/>
    <mergeCell ref="AD8:AG8"/>
    <mergeCell ref="AT4:AX4"/>
    <mergeCell ref="AY4:BJ4"/>
    <mergeCell ref="A6:K6"/>
    <mergeCell ref="A2:AS2"/>
    <mergeCell ref="AT2:AX2"/>
    <mergeCell ref="BG2:BJ2"/>
    <mergeCell ref="AT3:AX3"/>
    <mergeCell ref="AY3:BJ3"/>
    <mergeCell ref="L6:BJ6"/>
    <mergeCell ref="AY2:BB2"/>
    <mergeCell ref="BC2:BF2"/>
    <mergeCell ref="A3:H4"/>
    <mergeCell ref="I3:AS4"/>
  </mergeCells>
  <phoneticPr fontId="1"/>
  <pageMargins left="0.66" right="0.44" top="0.65" bottom="0.54" header="0.83" footer="0.21"/>
  <pageSetup paperSize="9" scale="71" fitToHeight="0"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A457E-81F9-4E99-BD30-786811470B63}">
  <sheetPr codeName="Sheet8">
    <pageSetUpPr fitToPage="1"/>
  </sheetPr>
  <dimension ref="A1:BK46"/>
  <sheetViews>
    <sheetView view="pageBreakPreview" zoomScaleNormal="100" zoomScaleSheetLayoutView="100" workbookViewId="0"/>
  </sheetViews>
  <sheetFormatPr defaultColWidth="2.109375" defaultRowHeight="14.4"/>
  <cols>
    <col min="1" max="16384" width="2.109375" style="6"/>
  </cols>
  <sheetData>
    <row r="1" spans="1:63" ht="21" customHeight="1">
      <c r="A1" s="1" t="s">
        <v>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2" t="s">
        <v>1</v>
      </c>
    </row>
    <row r="2" spans="1:63" s="3" customFormat="1" ht="18" customHeight="1">
      <c r="A2" s="99" t="s">
        <v>47</v>
      </c>
      <c r="B2" s="100"/>
      <c r="C2" s="100"/>
      <c r="D2" s="100"/>
      <c r="E2" s="100"/>
      <c r="F2" s="100"/>
      <c r="G2" s="100"/>
      <c r="H2" s="100"/>
      <c r="I2" s="100"/>
      <c r="J2" s="100"/>
      <c r="K2" s="100"/>
      <c r="L2" s="100"/>
      <c r="M2" s="100"/>
      <c r="N2" s="100"/>
      <c r="O2" s="100"/>
      <c r="P2" s="100"/>
      <c r="Q2" s="100"/>
      <c r="R2" s="100"/>
      <c r="S2" s="100"/>
      <c r="T2" s="100"/>
      <c r="U2" s="100"/>
      <c r="V2" s="100"/>
      <c r="W2" s="100"/>
      <c r="X2" s="100"/>
      <c r="Y2" s="100"/>
      <c r="Z2" s="100"/>
      <c r="AA2" s="100"/>
      <c r="AB2" s="100"/>
      <c r="AC2" s="100"/>
      <c r="AD2" s="100"/>
      <c r="AE2" s="100"/>
      <c r="AF2" s="100"/>
      <c r="AG2" s="100"/>
      <c r="AH2" s="100"/>
      <c r="AI2" s="100"/>
      <c r="AJ2" s="100"/>
      <c r="AK2" s="100"/>
      <c r="AL2" s="100"/>
      <c r="AM2" s="100"/>
      <c r="AN2" s="100"/>
      <c r="AO2" s="100"/>
      <c r="AP2" s="100"/>
      <c r="AQ2" s="100"/>
      <c r="AR2" s="100"/>
      <c r="AS2" s="101"/>
      <c r="AT2" s="93" t="s">
        <v>3</v>
      </c>
      <c r="AU2" s="94"/>
      <c r="AV2" s="94"/>
      <c r="AW2" s="94"/>
      <c r="AX2" s="95"/>
      <c r="AY2" s="93" t="s">
        <v>48</v>
      </c>
      <c r="AZ2" s="94"/>
      <c r="BA2" s="94"/>
      <c r="BB2" s="95"/>
      <c r="BC2" s="93" t="s">
        <v>5</v>
      </c>
      <c r="BD2" s="94"/>
      <c r="BE2" s="94"/>
      <c r="BF2" s="95"/>
      <c r="BG2" s="93"/>
      <c r="BH2" s="94"/>
      <c r="BI2" s="94"/>
      <c r="BJ2" s="95"/>
    </row>
    <row r="3" spans="1:63" s="1" customFormat="1" ht="18" customHeight="1">
      <c r="A3" s="102" t="s">
        <v>6</v>
      </c>
      <c r="B3" s="103"/>
      <c r="C3" s="103"/>
      <c r="D3" s="103"/>
      <c r="E3" s="103"/>
      <c r="F3" s="103"/>
      <c r="G3" s="103"/>
      <c r="H3" s="104"/>
      <c r="I3" s="108" t="s">
        <v>303</v>
      </c>
      <c r="J3" s="109"/>
      <c r="K3" s="109"/>
      <c r="L3" s="109"/>
      <c r="M3" s="109"/>
      <c r="N3" s="109"/>
      <c r="O3" s="109"/>
      <c r="P3" s="109"/>
      <c r="Q3" s="109"/>
      <c r="R3" s="109"/>
      <c r="S3" s="109"/>
      <c r="T3" s="109"/>
      <c r="U3" s="109"/>
      <c r="V3" s="109"/>
      <c r="W3" s="109"/>
      <c r="X3" s="109"/>
      <c r="Y3" s="109"/>
      <c r="Z3" s="109"/>
      <c r="AA3" s="109"/>
      <c r="AB3" s="109"/>
      <c r="AC3" s="109"/>
      <c r="AD3" s="109"/>
      <c r="AE3" s="109"/>
      <c r="AF3" s="109"/>
      <c r="AG3" s="109"/>
      <c r="AH3" s="109"/>
      <c r="AI3" s="109"/>
      <c r="AJ3" s="109"/>
      <c r="AK3" s="109"/>
      <c r="AL3" s="109"/>
      <c r="AM3" s="109"/>
      <c r="AN3" s="109"/>
      <c r="AO3" s="109"/>
      <c r="AP3" s="109"/>
      <c r="AQ3" s="109"/>
      <c r="AR3" s="109"/>
      <c r="AS3" s="110"/>
      <c r="AT3" s="93" t="s">
        <v>7</v>
      </c>
      <c r="AU3" s="94"/>
      <c r="AV3" s="94"/>
      <c r="AW3" s="94"/>
      <c r="AX3" s="95"/>
      <c r="AY3" s="93" t="s">
        <v>302</v>
      </c>
      <c r="AZ3" s="94"/>
      <c r="BA3" s="94"/>
      <c r="BB3" s="94"/>
      <c r="BC3" s="94"/>
      <c r="BD3" s="94"/>
      <c r="BE3" s="94"/>
      <c r="BF3" s="94"/>
      <c r="BG3" s="94"/>
      <c r="BH3" s="94"/>
      <c r="BI3" s="94"/>
      <c r="BJ3" s="95"/>
    </row>
    <row r="4" spans="1:63" s="1" customFormat="1" ht="18" customHeight="1">
      <c r="A4" s="105"/>
      <c r="B4" s="106"/>
      <c r="C4" s="106"/>
      <c r="D4" s="106"/>
      <c r="E4" s="106"/>
      <c r="F4" s="106"/>
      <c r="G4" s="106"/>
      <c r="H4" s="107"/>
      <c r="I4" s="111"/>
      <c r="J4" s="112"/>
      <c r="K4" s="112"/>
      <c r="L4" s="112"/>
      <c r="M4" s="112"/>
      <c r="N4" s="112"/>
      <c r="O4" s="112"/>
      <c r="P4" s="112"/>
      <c r="Q4" s="112"/>
      <c r="R4" s="112"/>
      <c r="S4" s="112"/>
      <c r="T4" s="112"/>
      <c r="U4" s="112"/>
      <c r="V4" s="112"/>
      <c r="W4" s="112"/>
      <c r="X4" s="112"/>
      <c r="Y4" s="112"/>
      <c r="Z4" s="112"/>
      <c r="AA4" s="112"/>
      <c r="AB4" s="112"/>
      <c r="AC4" s="112"/>
      <c r="AD4" s="112"/>
      <c r="AE4" s="112"/>
      <c r="AF4" s="112"/>
      <c r="AG4" s="112"/>
      <c r="AH4" s="112"/>
      <c r="AI4" s="112"/>
      <c r="AJ4" s="112"/>
      <c r="AK4" s="112"/>
      <c r="AL4" s="112"/>
      <c r="AM4" s="112"/>
      <c r="AN4" s="112"/>
      <c r="AO4" s="112"/>
      <c r="AP4" s="112"/>
      <c r="AQ4" s="112"/>
      <c r="AR4" s="112"/>
      <c r="AS4" s="113"/>
      <c r="AT4" s="93" t="s">
        <v>8</v>
      </c>
      <c r="AU4" s="94"/>
      <c r="AV4" s="94"/>
      <c r="AW4" s="94"/>
      <c r="AX4" s="95"/>
      <c r="AY4" s="93"/>
      <c r="AZ4" s="94"/>
      <c r="BA4" s="94"/>
      <c r="BB4" s="94"/>
      <c r="BC4" s="94"/>
      <c r="BD4" s="94"/>
      <c r="BE4" s="94"/>
      <c r="BF4" s="94"/>
      <c r="BG4" s="94"/>
      <c r="BH4" s="94"/>
      <c r="BI4" s="94"/>
      <c r="BJ4" s="95"/>
    </row>
    <row r="5" spans="1:63" ht="5.25" customHeight="1">
      <c r="A5" s="7"/>
      <c r="B5" s="7"/>
      <c r="C5" s="7"/>
      <c r="D5" s="7"/>
      <c r="E5" s="7"/>
      <c r="F5" s="7"/>
      <c r="G5" s="7"/>
      <c r="H5" s="7"/>
      <c r="I5" s="7"/>
      <c r="J5" s="7"/>
      <c r="K5" s="7"/>
      <c r="L5" s="7"/>
      <c r="M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row>
    <row r="6" spans="1:63" s="1" customFormat="1" ht="19.5" customHeight="1">
      <c r="A6" s="155" t="s">
        <v>16</v>
      </c>
      <c r="B6" s="157"/>
      <c r="C6" s="157"/>
      <c r="D6" s="157"/>
      <c r="E6" s="157"/>
      <c r="F6" s="157"/>
      <c r="G6" s="157"/>
      <c r="H6" s="157"/>
      <c r="I6" s="157"/>
      <c r="J6" s="157"/>
      <c r="K6" s="156"/>
      <c r="L6" s="155" t="s">
        <v>98</v>
      </c>
      <c r="M6" s="157"/>
      <c r="N6" s="157"/>
      <c r="O6" s="157"/>
      <c r="P6" s="157"/>
      <c r="Q6" s="157"/>
      <c r="R6" s="157"/>
      <c r="S6" s="157"/>
      <c r="T6" s="157"/>
      <c r="U6" s="157"/>
      <c r="V6" s="157"/>
      <c r="W6" s="157"/>
      <c r="X6" s="157"/>
      <c r="Y6" s="157"/>
      <c r="Z6" s="157"/>
      <c r="AA6" s="157"/>
      <c r="AB6" s="157"/>
      <c r="AC6" s="157"/>
      <c r="AD6" s="157"/>
      <c r="AE6" s="157"/>
      <c r="AF6" s="157"/>
      <c r="AG6" s="157"/>
      <c r="AH6" s="157"/>
      <c r="AI6" s="157"/>
      <c r="AJ6" s="157"/>
      <c r="AK6" s="157"/>
      <c r="AL6" s="157"/>
      <c r="AM6" s="157"/>
      <c r="AN6" s="157"/>
      <c r="AO6" s="157"/>
      <c r="AP6" s="157"/>
      <c r="AQ6" s="157"/>
      <c r="AR6" s="157"/>
      <c r="AS6" s="157"/>
      <c r="AT6" s="157"/>
      <c r="AU6" s="157"/>
      <c r="AV6" s="157"/>
      <c r="AW6" s="157"/>
      <c r="AX6" s="157"/>
      <c r="AY6" s="157"/>
      <c r="AZ6" s="157"/>
      <c r="BA6" s="157"/>
      <c r="BB6" s="157"/>
      <c r="BC6" s="157"/>
      <c r="BD6" s="157"/>
      <c r="BE6" s="157"/>
      <c r="BF6" s="157"/>
      <c r="BG6" s="157"/>
      <c r="BH6" s="157"/>
      <c r="BI6" s="157"/>
      <c r="BJ6" s="156"/>
      <c r="BK6" s="8"/>
    </row>
    <row r="7" spans="1:63" ht="3.75" customHeight="1">
      <c r="A7" s="7"/>
      <c r="B7" s="7"/>
      <c r="C7" s="7"/>
      <c r="D7" s="7"/>
      <c r="E7" s="7"/>
      <c r="F7" s="7"/>
      <c r="G7" s="7"/>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7"/>
      <c r="AY7" s="7"/>
      <c r="AZ7" s="7"/>
      <c r="BA7" s="7"/>
      <c r="BB7" s="7"/>
      <c r="BC7" s="7"/>
      <c r="BD7" s="7"/>
      <c r="BE7" s="7"/>
      <c r="BF7" s="7"/>
      <c r="BG7" s="7"/>
      <c r="BH7" s="7"/>
      <c r="BI7" s="7"/>
      <c r="BJ7" s="7"/>
    </row>
    <row r="8" spans="1:63" ht="40.5" customHeight="1">
      <c r="A8" s="93" t="s">
        <v>20</v>
      </c>
      <c r="B8" s="94"/>
      <c r="C8" s="95"/>
      <c r="D8" s="93" t="s">
        <v>276</v>
      </c>
      <c r="E8" s="94"/>
      <c r="F8" s="94"/>
      <c r="G8" s="94"/>
      <c r="H8" s="94"/>
      <c r="I8" s="94"/>
      <c r="J8" s="94"/>
      <c r="K8" s="94"/>
      <c r="L8" s="94"/>
      <c r="M8" s="94"/>
      <c r="N8" s="94"/>
      <c r="O8" s="94"/>
      <c r="P8" s="94"/>
      <c r="Q8" s="95"/>
      <c r="R8" s="93" t="s">
        <v>49</v>
      </c>
      <c r="S8" s="94"/>
      <c r="T8" s="94"/>
      <c r="U8" s="94"/>
      <c r="V8" s="94"/>
      <c r="W8" s="94"/>
      <c r="X8" s="94"/>
      <c r="Y8" s="94"/>
      <c r="Z8" s="94"/>
      <c r="AA8" s="94"/>
      <c r="AB8" s="94"/>
      <c r="AC8" s="94"/>
      <c r="AD8" s="94"/>
      <c r="AE8" s="94"/>
      <c r="AF8" s="94"/>
      <c r="AG8" s="94"/>
      <c r="AH8" s="94"/>
      <c r="AI8" s="94"/>
      <c r="AJ8" s="94"/>
      <c r="AK8" s="94"/>
      <c r="AL8" s="94"/>
      <c r="AM8" s="94"/>
      <c r="AN8" s="94"/>
      <c r="AO8" s="94"/>
      <c r="AP8" s="94"/>
      <c r="AQ8" s="94"/>
      <c r="AR8" s="94"/>
      <c r="AS8" s="94"/>
      <c r="AT8" s="94"/>
      <c r="AU8" s="94"/>
      <c r="AV8" s="94"/>
      <c r="AW8" s="94"/>
      <c r="AX8" s="94"/>
      <c r="AY8" s="94"/>
      <c r="AZ8" s="94"/>
      <c r="BA8" s="94"/>
      <c r="BB8" s="94"/>
      <c r="BC8" s="95"/>
      <c r="BD8" s="178" t="s">
        <v>46</v>
      </c>
      <c r="BE8" s="179"/>
      <c r="BF8" s="179"/>
      <c r="BG8" s="179"/>
      <c r="BH8" s="179"/>
      <c r="BI8" s="179"/>
      <c r="BJ8" s="180"/>
    </row>
    <row r="9" spans="1:63" s="11" customFormat="1" ht="40.5" customHeight="1">
      <c r="A9" s="181"/>
      <c r="B9" s="182"/>
      <c r="C9" s="183"/>
      <c r="D9" s="184"/>
      <c r="E9" s="185"/>
      <c r="F9" s="185"/>
      <c r="G9" s="185"/>
      <c r="H9" s="185"/>
      <c r="I9" s="185"/>
      <c r="J9" s="185"/>
      <c r="K9" s="185"/>
      <c r="L9" s="185"/>
      <c r="M9" s="185"/>
      <c r="N9" s="185"/>
      <c r="O9" s="185"/>
      <c r="P9" s="185"/>
      <c r="Q9" s="186"/>
      <c r="R9" s="184" t="s">
        <v>89</v>
      </c>
      <c r="S9" s="185"/>
      <c r="T9" s="185"/>
      <c r="U9" s="185"/>
      <c r="V9" s="185"/>
      <c r="W9" s="185"/>
      <c r="X9" s="185"/>
      <c r="Y9" s="185"/>
      <c r="Z9" s="185"/>
      <c r="AA9" s="185"/>
      <c r="AB9" s="185"/>
      <c r="AC9" s="185"/>
      <c r="AD9" s="185"/>
      <c r="AE9" s="185"/>
      <c r="AF9" s="185"/>
      <c r="AG9" s="185"/>
      <c r="AH9" s="185"/>
      <c r="AI9" s="185"/>
      <c r="AJ9" s="185"/>
      <c r="AK9" s="185"/>
      <c r="AL9" s="185"/>
      <c r="AM9" s="185"/>
      <c r="AN9" s="185"/>
      <c r="AO9" s="185"/>
      <c r="AP9" s="185"/>
      <c r="AQ9" s="185"/>
      <c r="AR9" s="185"/>
      <c r="AS9" s="185"/>
      <c r="AT9" s="185"/>
      <c r="AU9" s="185"/>
      <c r="AV9" s="185"/>
      <c r="AW9" s="185"/>
      <c r="AX9" s="185"/>
      <c r="AY9" s="185"/>
      <c r="AZ9" s="185"/>
      <c r="BA9" s="185"/>
      <c r="BB9" s="185"/>
      <c r="BC9" s="186"/>
      <c r="BD9" s="181"/>
      <c r="BE9" s="182"/>
      <c r="BF9" s="182"/>
      <c r="BG9" s="182"/>
      <c r="BH9" s="182"/>
      <c r="BI9" s="182"/>
      <c r="BJ9" s="183"/>
    </row>
    <row r="10" spans="1:63" ht="40.5" customHeight="1">
      <c r="A10" s="193"/>
      <c r="B10" s="194"/>
      <c r="C10" s="195"/>
      <c r="D10" s="196"/>
      <c r="E10" s="197"/>
      <c r="F10" s="197"/>
      <c r="G10" s="197"/>
      <c r="H10" s="197"/>
      <c r="I10" s="197"/>
      <c r="J10" s="197"/>
      <c r="K10" s="197"/>
      <c r="L10" s="197"/>
      <c r="M10" s="197"/>
      <c r="N10" s="197"/>
      <c r="O10" s="197"/>
      <c r="P10" s="197"/>
      <c r="Q10" s="198"/>
      <c r="R10" s="196"/>
      <c r="S10" s="197"/>
      <c r="T10" s="197"/>
      <c r="U10" s="197"/>
      <c r="V10" s="197"/>
      <c r="W10" s="197"/>
      <c r="X10" s="197"/>
      <c r="Y10" s="197"/>
      <c r="Z10" s="197"/>
      <c r="AA10" s="197"/>
      <c r="AB10" s="197"/>
      <c r="AC10" s="197"/>
      <c r="AD10" s="197"/>
      <c r="AE10" s="197"/>
      <c r="AF10" s="197"/>
      <c r="AG10" s="197"/>
      <c r="AH10" s="197"/>
      <c r="AI10" s="197"/>
      <c r="AJ10" s="197"/>
      <c r="AK10" s="197"/>
      <c r="AL10" s="197"/>
      <c r="AM10" s="197"/>
      <c r="AN10" s="197"/>
      <c r="AO10" s="197"/>
      <c r="AP10" s="197"/>
      <c r="AQ10" s="197"/>
      <c r="AR10" s="197"/>
      <c r="AS10" s="197"/>
      <c r="AT10" s="197"/>
      <c r="AU10" s="197"/>
      <c r="AV10" s="197"/>
      <c r="AW10" s="197"/>
      <c r="AX10" s="197"/>
      <c r="AY10" s="197"/>
      <c r="AZ10" s="197"/>
      <c r="BA10" s="197"/>
      <c r="BB10" s="197"/>
      <c r="BC10" s="198"/>
      <c r="BD10" s="193"/>
      <c r="BE10" s="194"/>
      <c r="BF10" s="194"/>
      <c r="BG10" s="194"/>
      <c r="BH10" s="194"/>
      <c r="BI10" s="194"/>
      <c r="BJ10" s="195"/>
    </row>
    <row r="11" spans="1:63" ht="40.5" customHeight="1">
      <c r="A11" s="193"/>
      <c r="B11" s="194"/>
      <c r="C11" s="195"/>
      <c r="D11" s="196"/>
      <c r="E11" s="197"/>
      <c r="F11" s="197"/>
      <c r="G11" s="197"/>
      <c r="H11" s="197"/>
      <c r="I11" s="197"/>
      <c r="J11" s="197"/>
      <c r="K11" s="197"/>
      <c r="L11" s="197"/>
      <c r="M11" s="197"/>
      <c r="N11" s="197"/>
      <c r="O11" s="197"/>
      <c r="P11" s="197"/>
      <c r="Q11" s="198"/>
      <c r="R11" s="196"/>
      <c r="S11" s="197"/>
      <c r="T11" s="197"/>
      <c r="U11" s="197"/>
      <c r="V11" s="197"/>
      <c r="W11" s="197"/>
      <c r="X11" s="197"/>
      <c r="Y11" s="197"/>
      <c r="Z11" s="197"/>
      <c r="AA11" s="197"/>
      <c r="AB11" s="197"/>
      <c r="AC11" s="197"/>
      <c r="AD11" s="197"/>
      <c r="AE11" s="197"/>
      <c r="AF11" s="197"/>
      <c r="AG11" s="197"/>
      <c r="AH11" s="197"/>
      <c r="AI11" s="197"/>
      <c r="AJ11" s="197"/>
      <c r="AK11" s="197"/>
      <c r="AL11" s="197"/>
      <c r="AM11" s="197"/>
      <c r="AN11" s="197"/>
      <c r="AO11" s="197"/>
      <c r="AP11" s="197"/>
      <c r="AQ11" s="197"/>
      <c r="AR11" s="197"/>
      <c r="AS11" s="197"/>
      <c r="AT11" s="197"/>
      <c r="AU11" s="197"/>
      <c r="AV11" s="197"/>
      <c r="AW11" s="197"/>
      <c r="AX11" s="197"/>
      <c r="AY11" s="197"/>
      <c r="AZ11" s="197"/>
      <c r="BA11" s="197"/>
      <c r="BB11" s="197"/>
      <c r="BC11" s="198"/>
      <c r="BD11" s="193"/>
      <c r="BE11" s="194"/>
      <c r="BF11" s="194"/>
      <c r="BG11" s="194"/>
      <c r="BH11" s="194"/>
      <c r="BI11" s="194"/>
      <c r="BJ11" s="195"/>
    </row>
    <row r="12" spans="1:63" ht="40.5" customHeight="1">
      <c r="A12" s="193"/>
      <c r="B12" s="194"/>
      <c r="C12" s="195"/>
      <c r="D12" s="196"/>
      <c r="E12" s="197"/>
      <c r="F12" s="197"/>
      <c r="G12" s="197"/>
      <c r="H12" s="197"/>
      <c r="I12" s="197"/>
      <c r="J12" s="197"/>
      <c r="K12" s="197"/>
      <c r="L12" s="197"/>
      <c r="M12" s="197"/>
      <c r="N12" s="197"/>
      <c r="O12" s="197"/>
      <c r="P12" s="197"/>
      <c r="Q12" s="198"/>
      <c r="R12" s="196"/>
      <c r="S12" s="197"/>
      <c r="T12" s="197"/>
      <c r="U12" s="197"/>
      <c r="V12" s="197"/>
      <c r="W12" s="197"/>
      <c r="X12" s="197"/>
      <c r="Y12" s="197"/>
      <c r="Z12" s="197"/>
      <c r="AA12" s="197"/>
      <c r="AB12" s="197"/>
      <c r="AC12" s="197"/>
      <c r="AD12" s="197"/>
      <c r="AE12" s="197"/>
      <c r="AF12" s="197"/>
      <c r="AG12" s="197"/>
      <c r="AH12" s="197"/>
      <c r="AI12" s="197"/>
      <c r="AJ12" s="197"/>
      <c r="AK12" s="197"/>
      <c r="AL12" s="197"/>
      <c r="AM12" s="197"/>
      <c r="AN12" s="197"/>
      <c r="AO12" s="197"/>
      <c r="AP12" s="197"/>
      <c r="AQ12" s="197"/>
      <c r="AR12" s="197"/>
      <c r="AS12" s="197"/>
      <c r="AT12" s="197"/>
      <c r="AU12" s="197"/>
      <c r="AV12" s="197"/>
      <c r="AW12" s="197"/>
      <c r="AX12" s="197"/>
      <c r="AY12" s="197"/>
      <c r="AZ12" s="197"/>
      <c r="BA12" s="197"/>
      <c r="BB12" s="197"/>
      <c r="BC12" s="198"/>
      <c r="BD12" s="193"/>
      <c r="BE12" s="194"/>
      <c r="BF12" s="194"/>
      <c r="BG12" s="194"/>
      <c r="BH12" s="194"/>
      <c r="BI12" s="194"/>
      <c r="BJ12" s="195"/>
    </row>
    <row r="13" spans="1:63" ht="40.5" customHeight="1">
      <c r="A13" s="193"/>
      <c r="B13" s="194"/>
      <c r="C13" s="195"/>
      <c r="D13" s="196"/>
      <c r="E13" s="197"/>
      <c r="F13" s="197"/>
      <c r="G13" s="197"/>
      <c r="H13" s="197"/>
      <c r="I13" s="197"/>
      <c r="J13" s="197"/>
      <c r="K13" s="197"/>
      <c r="L13" s="197"/>
      <c r="M13" s="197"/>
      <c r="N13" s="197"/>
      <c r="O13" s="197"/>
      <c r="P13" s="197"/>
      <c r="Q13" s="198"/>
      <c r="R13" s="196"/>
      <c r="S13" s="197"/>
      <c r="T13" s="197"/>
      <c r="U13" s="197"/>
      <c r="V13" s="197"/>
      <c r="W13" s="197"/>
      <c r="X13" s="197"/>
      <c r="Y13" s="197"/>
      <c r="Z13" s="197"/>
      <c r="AA13" s="197"/>
      <c r="AB13" s="197"/>
      <c r="AC13" s="197"/>
      <c r="AD13" s="197"/>
      <c r="AE13" s="197"/>
      <c r="AF13" s="197"/>
      <c r="AG13" s="197"/>
      <c r="AH13" s="197"/>
      <c r="AI13" s="197"/>
      <c r="AJ13" s="197"/>
      <c r="AK13" s="197"/>
      <c r="AL13" s="197"/>
      <c r="AM13" s="197"/>
      <c r="AN13" s="197"/>
      <c r="AO13" s="197"/>
      <c r="AP13" s="197"/>
      <c r="AQ13" s="197"/>
      <c r="AR13" s="197"/>
      <c r="AS13" s="197"/>
      <c r="AT13" s="197"/>
      <c r="AU13" s="197"/>
      <c r="AV13" s="197"/>
      <c r="AW13" s="197"/>
      <c r="AX13" s="197"/>
      <c r="AY13" s="197"/>
      <c r="AZ13" s="197"/>
      <c r="BA13" s="197"/>
      <c r="BB13" s="197"/>
      <c r="BC13" s="198"/>
      <c r="BD13" s="193"/>
      <c r="BE13" s="194"/>
      <c r="BF13" s="194"/>
      <c r="BG13" s="194"/>
      <c r="BH13" s="194"/>
      <c r="BI13" s="194"/>
      <c r="BJ13" s="195"/>
    </row>
    <row r="14" spans="1:63" ht="40.5" customHeight="1">
      <c r="A14" s="193"/>
      <c r="B14" s="194"/>
      <c r="C14" s="195"/>
      <c r="D14" s="196"/>
      <c r="E14" s="197"/>
      <c r="F14" s="197"/>
      <c r="G14" s="197"/>
      <c r="H14" s="197"/>
      <c r="I14" s="197"/>
      <c r="J14" s="197"/>
      <c r="K14" s="197"/>
      <c r="L14" s="197"/>
      <c r="M14" s="197"/>
      <c r="N14" s="197"/>
      <c r="O14" s="197"/>
      <c r="P14" s="197"/>
      <c r="Q14" s="198"/>
      <c r="R14" s="196"/>
      <c r="S14" s="197"/>
      <c r="T14" s="197"/>
      <c r="U14" s="197"/>
      <c r="V14" s="197"/>
      <c r="W14" s="197"/>
      <c r="X14" s="197"/>
      <c r="Y14" s="197"/>
      <c r="Z14" s="197"/>
      <c r="AA14" s="197"/>
      <c r="AB14" s="197"/>
      <c r="AC14" s="197"/>
      <c r="AD14" s="197"/>
      <c r="AE14" s="197"/>
      <c r="AF14" s="197"/>
      <c r="AG14" s="197"/>
      <c r="AH14" s="197"/>
      <c r="AI14" s="197"/>
      <c r="AJ14" s="197"/>
      <c r="AK14" s="197"/>
      <c r="AL14" s="197"/>
      <c r="AM14" s="197"/>
      <c r="AN14" s="197"/>
      <c r="AO14" s="197"/>
      <c r="AP14" s="197"/>
      <c r="AQ14" s="197"/>
      <c r="AR14" s="197"/>
      <c r="AS14" s="197"/>
      <c r="AT14" s="197"/>
      <c r="AU14" s="197"/>
      <c r="AV14" s="197"/>
      <c r="AW14" s="197"/>
      <c r="AX14" s="197"/>
      <c r="AY14" s="197"/>
      <c r="AZ14" s="197"/>
      <c r="BA14" s="197"/>
      <c r="BB14" s="197"/>
      <c r="BC14" s="198"/>
      <c r="BD14" s="193"/>
      <c r="BE14" s="194"/>
      <c r="BF14" s="194"/>
      <c r="BG14" s="194"/>
      <c r="BH14" s="194"/>
      <c r="BI14" s="194"/>
      <c r="BJ14" s="195"/>
    </row>
    <row r="15" spans="1:63" ht="40.5" customHeight="1">
      <c r="A15" s="193"/>
      <c r="B15" s="194"/>
      <c r="C15" s="195"/>
      <c r="D15" s="196"/>
      <c r="E15" s="197"/>
      <c r="F15" s="197"/>
      <c r="G15" s="197"/>
      <c r="H15" s="197"/>
      <c r="I15" s="197"/>
      <c r="J15" s="197"/>
      <c r="K15" s="197"/>
      <c r="L15" s="197"/>
      <c r="M15" s="197"/>
      <c r="N15" s="197"/>
      <c r="O15" s="197"/>
      <c r="P15" s="197"/>
      <c r="Q15" s="198"/>
      <c r="R15" s="196"/>
      <c r="S15" s="197"/>
      <c r="T15" s="197"/>
      <c r="U15" s="197"/>
      <c r="V15" s="197"/>
      <c r="W15" s="197"/>
      <c r="X15" s="197"/>
      <c r="Y15" s="197"/>
      <c r="Z15" s="197"/>
      <c r="AA15" s="197"/>
      <c r="AB15" s="197"/>
      <c r="AC15" s="197"/>
      <c r="AD15" s="197"/>
      <c r="AE15" s="197"/>
      <c r="AF15" s="197"/>
      <c r="AG15" s="197"/>
      <c r="AH15" s="197"/>
      <c r="AI15" s="197"/>
      <c r="AJ15" s="197"/>
      <c r="AK15" s="197"/>
      <c r="AL15" s="197"/>
      <c r="AM15" s="197"/>
      <c r="AN15" s="197"/>
      <c r="AO15" s="197"/>
      <c r="AP15" s="197"/>
      <c r="AQ15" s="197"/>
      <c r="AR15" s="197"/>
      <c r="AS15" s="197"/>
      <c r="AT15" s="197"/>
      <c r="AU15" s="197"/>
      <c r="AV15" s="197"/>
      <c r="AW15" s="197"/>
      <c r="AX15" s="197"/>
      <c r="AY15" s="197"/>
      <c r="AZ15" s="197"/>
      <c r="BA15" s="197"/>
      <c r="BB15" s="197"/>
      <c r="BC15" s="198"/>
      <c r="BD15" s="193"/>
      <c r="BE15" s="194"/>
      <c r="BF15" s="194"/>
      <c r="BG15" s="194"/>
      <c r="BH15" s="194"/>
      <c r="BI15" s="194"/>
      <c r="BJ15" s="195"/>
    </row>
    <row r="16" spans="1:63" ht="40.5" customHeight="1">
      <c r="A16" s="193"/>
      <c r="B16" s="194"/>
      <c r="C16" s="195"/>
      <c r="D16" s="196"/>
      <c r="E16" s="197"/>
      <c r="F16" s="197"/>
      <c r="G16" s="197"/>
      <c r="H16" s="197"/>
      <c r="I16" s="197"/>
      <c r="J16" s="197"/>
      <c r="K16" s="197"/>
      <c r="L16" s="197"/>
      <c r="M16" s="197"/>
      <c r="N16" s="197"/>
      <c r="O16" s="197"/>
      <c r="P16" s="197"/>
      <c r="Q16" s="198"/>
      <c r="R16" s="196"/>
      <c r="S16" s="197"/>
      <c r="T16" s="197"/>
      <c r="U16" s="197"/>
      <c r="V16" s="197"/>
      <c r="W16" s="197"/>
      <c r="X16" s="197"/>
      <c r="Y16" s="197"/>
      <c r="Z16" s="197"/>
      <c r="AA16" s="197"/>
      <c r="AB16" s="197"/>
      <c r="AC16" s="197"/>
      <c r="AD16" s="197"/>
      <c r="AE16" s="197"/>
      <c r="AF16" s="197"/>
      <c r="AG16" s="197"/>
      <c r="AH16" s="197"/>
      <c r="AI16" s="197"/>
      <c r="AJ16" s="197"/>
      <c r="AK16" s="197"/>
      <c r="AL16" s="197"/>
      <c r="AM16" s="197"/>
      <c r="AN16" s="197"/>
      <c r="AO16" s="197"/>
      <c r="AP16" s="197"/>
      <c r="AQ16" s="197"/>
      <c r="AR16" s="197"/>
      <c r="AS16" s="197"/>
      <c r="AT16" s="197"/>
      <c r="AU16" s="197"/>
      <c r="AV16" s="197"/>
      <c r="AW16" s="197"/>
      <c r="AX16" s="197"/>
      <c r="AY16" s="197"/>
      <c r="AZ16" s="197"/>
      <c r="BA16" s="197"/>
      <c r="BB16" s="197"/>
      <c r="BC16" s="198"/>
      <c r="BD16" s="193"/>
      <c r="BE16" s="194"/>
      <c r="BF16" s="194"/>
      <c r="BG16" s="194"/>
      <c r="BH16" s="194"/>
      <c r="BI16" s="194"/>
      <c r="BJ16" s="195"/>
    </row>
    <row r="17" spans="1:62" ht="40.5" customHeight="1">
      <c r="A17" s="193"/>
      <c r="B17" s="194"/>
      <c r="C17" s="195"/>
      <c r="D17" s="196"/>
      <c r="E17" s="197"/>
      <c r="F17" s="197"/>
      <c r="G17" s="197"/>
      <c r="H17" s="197"/>
      <c r="I17" s="197"/>
      <c r="J17" s="197"/>
      <c r="K17" s="197"/>
      <c r="L17" s="197"/>
      <c r="M17" s="197"/>
      <c r="N17" s="197"/>
      <c r="O17" s="197"/>
      <c r="P17" s="197"/>
      <c r="Q17" s="198"/>
      <c r="R17" s="196"/>
      <c r="S17" s="197"/>
      <c r="T17" s="197"/>
      <c r="U17" s="197"/>
      <c r="V17" s="197"/>
      <c r="W17" s="197"/>
      <c r="X17" s="197"/>
      <c r="Y17" s="197"/>
      <c r="Z17" s="197"/>
      <c r="AA17" s="197"/>
      <c r="AB17" s="197"/>
      <c r="AC17" s="197"/>
      <c r="AD17" s="197"/>
      <c r="AE17" s="197"/>
      <c r="AF17" s="197"/>
      <c r="AG17" s="197"/>
      <c r="AH17" s="197"/>
      <c r="AI17" s="197"/>
      <c r="AJ17" s="197"/>
      <c r="AK17" s="197"/>
      <c r="AL17" s="197"/>
      <c r="AM17" s="197"/>
      <c r="AN17" s="197"/>
      <c r="AO17" s="197"/>
      <c r="AP17" s="197"/>
      <c r="AQ17" s="197"/>
      <c r="AR17" s="197"/>
      <c r="AS17" s="197"/>
      <c r="AT17" s="197"/>
      <c r="AU17" s="197"/>
      <c r="AV17" s="197"/>
      <c r="AW17" s="197"/>
      <c r="AX17" s="197"/>
      <c r="AY17" s="197"/>
      <c r="AZ17" s="197"/>
      <c r="BA17" s="197"/>
      <c r="BB17" s="197"/>
      <c r="BC17" s="198"/>
      <c r="BD17" s="193"/>
      <c r="BE17" s="194"/>
      <c r="BF17" s="194"/>
      <c r="BG17" s="194"/>
      <c r="BH17" s="194"/>
      <c r="BI17" s="194"/>
      <c r="BJ17" s="195"/>
    </row>
    <row r="18" spans="1:62" ht="40.5" customHeight="1">
      <c r="A18" s="193"/>
      <c r="B18" s="194"/>
      <c r="C18" s="195"/>
      <c r="D18" s="196"/>
      <c r="E18" s="197"/>
      <c r="F18" s="197"/>
      <c r="G18" s="197"/>
      <c r="H18" s="197"/>
      <c r="I18" s="197"/>
      <c r="J18" s="197"/>
      <c r="K18" s="197"/>
      <c r="L18" s="197"/>
      <c r="M18" s="197"/>
      <c r="N18" s="197"/>
      <c r="O18" s="197"/>
      <c r="P18" s="197"/>
      <c r="Q18" s="198"/>
      <c r="R18" s="196"/>
      <c r="S18" s="197"/>
      <c r="T18" s="197"/>
      <c r="U18" s="197"/>
      <c r="V18" s="197"/>
      <c r="W18" s="197"/>
      <c r="X18" s="197"/>
      <c r="Y18" s="197"/>
      <c r="Z18" s="197"/>
      <c r="AA18" s="197"/>
      <c r="AB18" s="197"/>
      <c r="AC18" s="197"/>
      <c r="AD18" s="197"/>
      <c r="AE18" s="197"/>
      <c r="AF18" s="197"/>
      <c r="AG18" s="197"/>
      <c r="AH18" s="197"/>
      <c r="AI18" s="197"/>
      <c r="AJ18" s="197"/>
      <c r="AK18" s="197"/>
      <c r="AL18" s="197"/>
      <c r="AM18" s="197"/>
      <c r="AN18" s="197"/>
      <c r="AO18" s="197"/>
      <c r="AP18" s="197"/>
      <c r="AQ18" s="197"/>
      <c r="AR18" s="197"/>
      <c r="AS18" s="197"/>
      <c r="AT18" s="197"/>
      <c r="AU18" s="197"/>
      <c r="AV18" s="197"/>
      <c r="AW18" s="197"/>
      <c r="AX18" s="197"/>
      <c r="AY18" s="197"/>
      <c r="AZ18" s="197"/>
      <c r="BA18" s="197"/>
      <c r="BB18" s="197"/>
      <c r="BC18" s="198"/>
      <c r="BD18" s="193"/>
      <c r="BE18" s="194"/>
      <c r="BF18" s="194"/>
      <c r="BG18" s="194"/>
      <c r="BH18" s="194"/>
      <c r="BI18" s="194"/>
      <c r="BJ18" s="195"/>
    </row>
    <row r="19" spans="1:62" ht="40.5" customHeight="1">
      <c r="A19" s="193"/>
      <c r="B19" s="194"/>
      <c r="C19" s="195"/>
      <c r="D19" s="196"/>
      <c r="E19" s="197"/>
      <c r="F19" s="197"/>
      <c r="G19" s="197"/>
      <c r="H19" s="197"/>
      <c r="I19" s="197"/>
      <c r="J19" s="197"/>
      <c r="K19" s="197"/>
      <c r="L19" s="197"/>
      <c r="M19" s="197"/>
      <c r="N19" s="197"/>
      <c r="O19" s="197"/>
      <c r="P19" s="197"/>
      <c r="Q19" s="198"/>
      <c r="R19" s="196"/>
      <c r="S19" s="197"/>
      <c r="T19" s="197"/>
      <c r="U19" s="197"/>
      <c r="V19" s="197"/>
      <c r="W19" s="197"/>
      <c r="X19" s="197"/>
      <c r="Y19" s="197"/>
      <c r="Z19" s="197"/>
      <c r="AA19" s="197"/>
      <c r="AB19" s="197"/>
      <c r="AC19" s="197"/>
      <c r="AD19" s="197"/>
      <c r="AE19" s="197"/>
      <c r="AF19" s="197"/>
      <c r="AG19" s="197"/>
      <c r="AH19" s="197"/>
      <c r="AI19" s="197"/>
      <c r="AJ19" s="197"/>
      <c r="AK19" s="197"/>
      <c r="AL19" s="197"/>
      <c r="AM19" s="197"/>
      <c r="AN19" s="197"/>
      <c r="AO19" s="197"/>
      <c r="AP19" s="197"/>
      <c r="AQ19" s="197"/>
      <c r="AR19" s="197"/>
      <c r="AS19" s="197"/>
      <c r="AT19" s="197"/>
      <c r="AU19" s="197"/>
      <c r="AV19" s="197"/>
      <c r="AW19" s="197"/>
      <c r="AX19" s="197"/>
      <c r="AY19" s="197"/>
      <c r="AZ19" s="197"/>
      <c r="BA19" s="197"/>
      <c r="BB19" s="197"/>
      <c r="BC19" s="198"/>
      <c r="BD19" s="193"/>
      <c r="BE19" s="194"/>
      <c r="BF19" s="194"/>
      <c r="BG19" s="194"/>
      <c r="BH19" s="194"/>
      <c r="BI19" s="194"/>
      <c r="BJ19" s="195"/>
    </row>
    <row r="20" spans="1:62" ht="40.5" customHeight="1">
      <c r="A20" s="193"/>
      <c r="B20" s="194"/>
      <c r="C20" s="195"/>
      <c r="D20" s="196"/>
      <c r="E20" s="197"/>
      <c r="F20" s="197"/>
      <c r="G20" s="197"/>
      <c r="H20" s="197"/>
      <c r="I20" s="197"/>
      <c r="J20" s="197"/>
      <c r="K20" s="197"/>
      <c r="L20" s="197"/>
      <c r="M20" s="197"/>
      <c r="N20" s="197"/>
      <c r="O20" s="197"/>
      <c r="P20" s="197"/>
      <c r="Q20" s="198"/>
      <c r="R20" s="196"/>
      <c r="S20" s="197"/>
      <c r="T20" s="197"/>
      <c r="U20" s="197"/>
      <c r="V20" s="197"/>
      <c r="W20" s="197"/>
      <c r="X20" s="197"/>
      <c r="Y20" s="197"/>
      <c r="Z20" s="197"/>
      <c r="AA20" s="197"/>
      <c r="AB20" s="197"/>
      <c r="AC20" s="197"/>
      <c r="AD20" s="197"/>
      <c r="AE20" s="197"/>
      <c r="AF20" s="197"/>
      <c r="AG20" s="197"/>
      <c r="AH20" s="197"/>
      <c r="AI20" s="197"/>
      <c r="AJ20" s="197"/>
      <c r="AK20" s="197"/>
      <c r="AL20" s="197"/>
      <c r="AM20" s="197"/>
      <c r="AN20" s="197"/>
      <c r="AO20" s="197"/>
      <c r="AP20" s="197"/>
      <c r="AQ20" s="197"/>
      <c r="AR20" s="197"/>
      <c r="AS20" s="197"/>
      <c r="AT20" s="197"/>
      <c r="AU20" s="197"/>
      <c r="AV20" s="197"/>
      <c r="AW20" s="197"/>
      <c r="AX20" s="197"/>
      <c r="AY20" s="197"/>
      <c r="AZ20" s="197"/>
      <c r="BA20" s="197"/>
      <c r="BB20" s="197"/>
      <c r="BC20" s="198"/>
      <c r="BD20" s="193"/>
      <c r="BE20" s="194"/>
      <c r="BF20" s="194"/>
      <c r="BG20" s="194"/>
      <c r="BH20" s="194"/>
      <c r="BI20" s="194"/>
      <c r="BJ20" s="195"/>
    </row>
    <row r="21" spans="1:62" ht="40.5" customHeight="1">
      <c r="A21" s="193"/>
      <c r="B21" s="194"/>
      <c r="C21" s="195"/>
      <c r="D21" s="196"/>
      <c r="E21" s="197"/>
      <c r="F21" s="197"/>
      <c r="G21" s="197"/>
      <c r="H21" s="197"/>
      <c r="I21" s="197"/>
      <c r="J21" s="197"/>
      <c r="K21" s="197"/>
      <c r="L21" s="197"/>
      <c r="M21" s="197"/>
      <c r="N21" s="197"/>
      <c r="O21" s="197"/>
      <c r="P21" s="197"/>
      <c r="Q21" s="198"/>
      <c r="R21" s="196"/>
      <c r="S21" s="197"/>
      <c r="T21" s="197"/>
      <c r="U21" s="197"/>
      <c r="V21" s="197"/>
      <c r="W21" s="197"/>
      <c r="X21" s="197"/>
      <c r="Y21" s="197"/>
      <c r="Z21" s="197"/>
      <c r="AA21" s="197"/>
      <c r="AB21" s="197"/>
      <c r="AC21" s="197"/>
      <c r="AD21" s="197"/>
      <c r="AE21" s="197"/>
      <c r="AF21" s="197"/>
      <c r="AG21" s="197"/>
      <c r="AH21" s="197"/>
      <c r="AI21" s="197"/>
      <c r="AJ21" s="197"/>
      <c r="AK21" s="197"/>
      <c r="AL21" s="197"/>
      <c r="AM21" s="197"/>
      <c r="AN21" s="197"/>
      <c r="AO21" s="197"/>
      <c r="AP21" s="197"/>
      <c r="AQ21" s="197"/>
      <c r="AR21" s="197"/>
      <c r="AS21" s="197"/>
      <c r="AT21" s="197"/>
      <c r="AU21" s="197"/>
      <c r="AV21" s="197"/>
      <c r="AW21" s="197"/>
      <c r="AX21" s="197"/>
      <c r="AY21" s="197"/>
      <c r="AZ21" s="197"/>
      <c r="BA21" s="197"/>
      <c r="BB21" s="197"/>
      <c r="BC21" s="198"/>
      <c r="BD21" s="193"/>
      <c r="BE21" s="194"/>
      <c r="BF21" s="194"/>
      <c r="BG21" s="194"/>
      <c r="BH21" s="194"/>
      <c r="BI21" s="194"/>
      <c r="BJ21" s="195"/>
    </row>
    <row r="22" spans="1:62" ht="40.5" customHeight="1">
      <c r="A22" s="193"/>
      <c r="B22" s="194"/>
      <c r="C22" s="195"/>
      <c r="D22" s="196"/>
      <c r="E22" s="197"/>
      <c r="F22" s="197"/>
      <c r="G22" s="197"/>
      <c r="H22" s="197"/>
      <c r="I22" s="197"/>
      <c r="J22" s="197"/>
      <c r="K22" s="197"/>
      <c r="L22" s="197"/>
      <c r="M22" s="197"/>
      <c r="N22" s="197"/>
      <c r="O22" s="197"/>
      <c r="P22" s="197"/>
      <c r="Q22" s="198"/>
      <c r="R22" s="196"/>
      <c r="S22" s="197"/>
      <c r="T22" s="197"/>
      <c r="U22" s="197"/>
      <c r="V22" s="197"/>
      <c r="W22" s="197"/>
      <c r="X22" s="197"/>
      <c r="Y22" s="197"/>
      <c r="Z22" s="197"/>
      <c r="AA22" s="197"/>
      <c r="AB22" s="197"/>
      <c r="AC22" s="197"/>
      <c r="AD22" s="197"/>
      <c r="AE22" s="197"/>
      <c r="AF22" s="197"/>
      <c r="AG22" s="197"/>
      <c r="AH22" s="197"/>
      <c r="AI22" s="197"/>
      <c r="AJ22" s="197"/>
      <c r="AK22" s="197"/>
      <c r="AL22" s="197"/>
      <c r="AM22" s="197"/>
      <c r="AN22" s="197"/>
      <c r="AO22" s="197"/>
      <c r="AP22" s="197"/>
      <c r="AQ22" s="197"/>
      <c r="AR22" s="197"/>
      <c r="AS22" s="197"/>
      <c r="AT22" s="197"/>
      <c r="AU22" s="197"/>
      <c r="AV22" s="197"/>
      <c r="AW22" s="197"/>
      <c r="AX22" s="197"/>
      <c r="AY22" s="197"/>
      <c r="AZ22" s="197"/>
      <c r="BA22" s="197"/>
      <c r="BB22" s="197"/>
      <c r="BC22" s="198"/>
      <c r="BD22" s="193"/>
      <c r="BE22" s="194"/>
      <c r="BF22" s="194"/>
      <c r="BG22" s="194"/>
      <c r="BH22" s="194"/>
      <c r="BI22" s="194"/>
      <c r="BJ22" s="195"/>
    </row>
    <row r="23" spans="1:62" ht="40.5" customHeight="1">
      <c r="A23" s="193"/>
      <c r="B23" s="194"/>
      <c r="C23" s="195"/>
      <c r="D23" s="196"/>
      <c r="E23" s="197"/>
      <c r="F23" s="197"/>
      <c r="G23" s="197"/>
      <c r="H23" s="197"/>
      <c r="I23" s="197"/>
      <c r="J23" s="197"/>
      <c r="K23" s="197"/>
      <c r="L23" s="197"/>
      <c r="M23" s="197"/>
      <c r="N23" s="197"/>
      <c r="O23" s="197"/>
      <c r="P23" s="197"/>
      <c r="Q23" s="198"/>
      <c r="R23" s="196"/>
      <c r="S23" s="197"/>
      <c r="T23" s="197"/>
      <c r="U23" s="197"/>
      <c r="V23" s="197"/>
      <c r="W23" s="197"/>
      <c r="X23" s="197"/>
      <c r="Y23" s="197"/>
      <c r="Z23" s="197"/>
      <c r="AA23" s="197"/>
      <c r="AB23" s="197"/>
      <c r="AC23" s="197"/>
      <c r="AD23" s="197"/>
      <c r="AE23" s="197"/>
      <c r="AF23" s="197"/>
      <c r="AG23" s="197"/>
      <c r="AH23" s="197"/>
      <c r="AI23" s="197"/>
      <c r="AJ23" s="197"/>
      <c r="AK23" s="197"/>
      <c r="AL23" s="197"/>
      <c r="AM23" s="197"/>
      <c r="AN23" s="197"/>
      <c r="AO23" s="197"/>
      <c r="AP23" s="197"/>
      <c r="AQ23" s="197"/>
      <c r="AR23" s="197"/>
      <c r="AS23" s="197"/>
      <c r="AT23" s="197"/>
      <c r="AU23" s="197"/>
      <c r="AV23" s="197"/>
      <c r="AW23" s="197"/>
      <c r="AX23" s="197"/>
      <c r="AY23" s="197"/>
      <c r="AZ23" s="197"/>
      <c r="BA23" s="197"/>
      <c r="BB23" s="197"/>
      <c r="BC23" s="198"/>
      <c r="BD23" s="193"/>
      <c r="BE23" s="194"/>
      <c r="BF23" s="194"/>
      <c r="BG23" s="194"/>
      <c r="BH23" s="194"/>
      <c r="BI23" s="194"/>
      <c r="BJ23" s="195"/>
    </row>
    <row r="24" spans="1:62" ht="40.5" customHeight="1">
      <c r="A24" s="193"/>
      <c r="B24" s="194"/>
      <c r="C24" s="195"/>
      <c r="D24" s="196"/>
      <c r="E24" s="197"/>
      <c r="F24" s="197"/>
      <c r="G24" s="197"/>
      <c r="H24" s="197"/>
      <c r="I24" s="197"/>
      <c r="J24" s="197"/>
      <c r="K24" s="197"/>
      <c r="L24" s="197"/>
      <c r="M24" s="197"/>
      <c r="N24" s="197"/>
      <c r="O24" s="197"/>
      <c r="P24" s="197"/>
      <c r="Q24" s="198"/>
      <c r="R24" s="196"/>
      <c r="S24" s="197"/>
      <c r="T24" s="197"/>
      <c r="U24" s="197"/>
      <c r="V24" s="197"/>
      <c r="W24" s="197"/>
      <c r="X24" s="197"/>
      <c r="Y24" s="197"/>
      <c r="Z24" s="197"/>
      <c r="AA24" s="197"/>
      <c r="AB24" s="197"/>
      <c r="AC24" s="197"/>
      <c r="AD24" s="197"/>
      <c r="AE24" s="197"/>
      <c r="AF24" s="197"/>
      <c r="AG24" s="197"/>
      <c r="AH24" s="197"/>
      <c r="AI24" s="197"/>
      <c r="AJ24" s="197"/>
      <c r="AK24" s="197"/>
      <c r="AL24" s="197"/>
      <c r="AM24" s="197"/>
      <c r="AN24" s="197"/>
      <c r="AO24" s="197"/>
      <c r="AP24" s="197"/>
      <c r="AQ24" s="197"/>
      <c r="AR24" s="197"/>
      <c r="AS24" s="197"/>
      <c r="AT24" s="197"/>
      <c r="AU24" s="197"/>
      <c r="AV24" s="197"/>
      <c r="AW24" s="197"/>
      <c r="AX24" s="197"/>
      <c r="AY24" s="197"/>
      <c r="AZ24" s="197"/>
      <c r="BA24" s="197"/>
      <c r="BB24" s="197"/>
      <c r="BC24" s="198"/>
      <c r="BD24" s="193"/>
      <c r="BE24" s="194"/>
      <c r="BF24" s="194"/>
      <c r="BG24" s="194"/>
      <c r="BH24" s="194"/>
      <c r="BI24" s="194"/>
      <c r="BJ24" s="195"/>
    </row>
    <row r="25" spans="1:62" ht="40.5" customHeight="1">
      <c r="A25" s="193"/>
      <c r="B25" s="194"/>
      <c r="C25" s="195"/>
      <c r="D25" s="196"/>
      <c r="E25" s="197"/>
      <c r="F25" s="197"/>
      <c r="G25" s="197"/>
      <c r="H25" s="197"/>
      <c r="I25" s="197"/>
      <c r="J25" s="197"/>
      <c r="K25" s="197"/>
      <c r="L25" s="197"/>
      <c r="M25" s="197"/>
      <c r="N25" s="197"/>
      <c r="O25" s="197"/>
      <c r="P25" s="197"/>
      <c r="Q25" s="198"/>
      <c r="R25" s="196"/>
      <c r="S25" s="197"/>
      <c r="T25" s="197"/>
      <c r="U25" s="197"/>
      <c r="V25" s="197"/>
      <c r="W25" s="197"/>
      <c r="X25" s="197"/>
      <c r="Y25" s="197"/>
      <c r="Z25" s="197"/>
      <c r="AA25" s="197"/>
      <c r="AB25" s="197"/>
      <c r="AC25" s="197"/>
      <c r="AD25" s="197"/>
      <c r="AE25" s="197"/>
      <c r="AF25" s="197"/>
      <c r="AG25" s="197"/>
      <c r="AH25" s="197"/>
      <c r="AI25" s="197"/>
      <c r="AJ25" s="197"/>
      <c r="AK25" s="197"/>
      <c r="AL25" s="197"/>
      <c r="AM25" s="197"/>
      <c r="AN25" s="197"/>
      <c r="AO25" s="197"/>
      <c r="AP25" s="197"/>
      <c r="AQ25" s="197"/>
      <c r="AR25" s="197"/>
      <c r="AS25" s="197"/>
      <c r="AT25" s="197"/>
      <c r="AU25" s="197"/>
      <c r="AV25" s="197"/>
      <c r="AW25" s="197"/>
      <c r="AX25" s="197"/>
      <c r="AY25" s="197"/>
      <c r="AZ25" s="197"/>
      <c r="BA25" s="197"/>
      <c r="BB25" s="197"/>
      <c r="BC25" s="198"/>
      <c r="BD25" s="193"/>
      <c r="BE25" s="194"/>
      <c r="BF25" s="194"/>
      <c r="BG25" s="194"/>
      <c r="BH25" s="194"/>
      <c r="BI25" s="194"/>
      <c r="BJ25" s="195"/>
    </row>
    <row r="26" spans="1:62" ht="40.5" customHeight="1">
      <c r="A26" s="193"/>
      <c r="B26" s="194"/>
      <c r="C26" s="195"/>
      <c r="D26" s="196"/>
      <c r="E26" s="197"/>
      <c r="F26" s="197"/>
      <c r="G26" s="197"/>
      <c r="H26" s="197"/>
      <c r="I26" s="197"/>
      <c r="J26" s="197"/>
      <c r="K26" s="197"/>
      <c r="L26" s="197"/>
      <c r="M26" s="197"/>
      <c r="N26" s="197"/>
      <c r="O26" s="197"/>
      <c r="P26" s="197"/>
      <c r="Q26" s="198"/>
      <c r="R26" s="196"/>
      <c r="S26" s="197"/>
      <c r="T26" s="197"/>
      <c r="U26" s="197"/>
      <c r="V26" s="197"/>
      <c r="W26" s="197"/>
      <c r="X26" s="197"/>
      <c r="Y26" s="197"/>
      <c r="Z26" s="197"/>
      <c r="AA26" s="197"/>
      <c r="AB26" s="197"/>
      <c r="AC26" s="197"/>
      <c r="AD26" s="197"/>
      <c r="AE26" s="197"/>
      <c r="AF26" s="197"/>
      <c r="AG26" s="197"/>
      <c r="AH26" s="197"/>
      <c r="AI26" s="197"/>
      <c r="AJ26" s="197"/>
      <c r="AK26" s="197"/>
      <c r="AL26" s="197"/>
      <c r="AM26" s="197"/>
      <c r="AN26" s="197"/>
      <c r="AO26" s="197"/>
      <c r="AP26" s="197"/>
      <c r="AQ26" s="197"/>
      <c r="AR26" s="197"/>
      <c r="AS26" s="197"/>
      <c r="AT26" s="197"/>
      <c r="AU26" s="197"/>
      <c r="AV26" s="197"/>
      <c r="AW26" s="197"/>
      <c r="AX26" s="197"/>
      <c r="AY26" s="197"/>
      <c r="AZ26" s="197"/>
      <c r="BA26" s="197"/>
      <c r="BB26" s="197"/>
      <c r="BC26" s="198"/>
      <c r="BD26" s="193"/>
      <c r="BE26" s="194"/>
      <c r="BF26" s="194"/>
      <c r="BG26" s="194"/>
      <c r="BH26" s="194"/>
      <c r="BI26" s="194"/>
      <c r="BJ26" s="195"/>
    </row>
    <row r="27" spans="1:62" ht="40.5" customHeight="1">
      <c r="A27" s="193"/>
      <c r="B27" s="194"/>
      <c r="C27" s="195"/>
      <c r="D27" s="196"/>
      <c r="E27" s="197"/>
      <c r="F27" s="197"/>
      <c r="G27" s="197"/>
      <c r="H27" s="197"/>
      <c r="I27" s="197"/>
      <c r="J27" s="197"/>
      <c r="K27" s="197"/>
      <c r="L27" s="197"/>
      <c r="M27" s="197"/>
      <c r="N27" s="197"/>
      <c r="O27" s="197"/>
      <c r="P27" s="197"/>
      <c r="Q27" s="198"/>
      <c r="R27" s="196"/>
      <c r="S27" s="197"/>
      <c r="T27" s="197"/>
      <c r="U27" s="197"/>
      <c r="V27" s="197"/>
      <c r="W27" s="197"/>
      <c r="X27" s="197"/>
      <c r="Y27" s="197"/>
      <c r="Z27" s="197"/>
      <c r="AA27" s="197"/>
      <c r="AB27" s="197"/>
      <c r="AC27" s="197"/>
      <c r="AD27" s="197"/>
      <c r="AE27" s="197"/>
      <c r="AF27" s="197"/>
      <c r="AG27" s="197"/>
      <c r="AH27" s="197"/>
      <c r="AI27" s="197"/>
      <c r="AJ27" s="197"/>
      <c r="AK27" s="197"/>
      <c r="AL27" s="197"/>
      <c r="AM27" s="197"/>
      <c r="AN27" s="197"/>
      <c r="AO27" s="197"/>
      <c r="AP27" s="197"/>
      <c r="AQ27" s="197"/>
      <c r="AR27" s="197"/>
      <c r="AS27" s="197"/>
      <c r="AT27" s="197"/>
      <c r="AU27" s="197"/>
      <c r="AV27" s="197"/>
      <c r="AW27" s="197"/>
      <c r="AX27" s="197"/>
      <c r="AY27" s="197"/>
      <c r="AZ27" s="197"/>
      <c r="BA27" s="197"/>
      <c r="BB27" s="197"/>
      <c r="BC27" s="198"/>
      <c r="BD27" s="193"/>
      <c r="BE27" s="194"/>
      <c r="BF27" s="194"/>
      <c r="BG27" s="194"/>
      <c r="BH27" s="194"/>
      <c r="BI27" s="194"/>
      <c r="BJ27" s="195"/>
    </row>
    <row r="28" spans="1:62" ht="40.5" customHeight="1">
      <c r="A28" s="193"/>
      <c r="B28" s="194"/>
      <c r="C28" s="195"/>
      <c r="D28" s="196"/>
      <c r="E28" s="197"/>
      <c r="F28" s="197"/>
      <c r="G28" s="197"/>
      <c r="H28" s="197"/>
      <c r="I28" s="197"/>
      <c r="J28" s="197"/>
      <c r="K28" s="197"/>
      <c r="L28" s="197"/>
      <c r="M28" s="197"/>
      <c r="N28" s="197"/>
      <c r="O28" s="197"/>
      <c r="P28" s="197"/>
      <c r="Q28" s="198"/>
      <c r="R28" s="196"/>
      <c r="S28" s="197"/>
      <c r="T28" s="197"/>
      <c r="U28" s="197"/>
      <c r="V28" s="197"/>
      <c r="W28" s="197"/>
      <c r="X28" s="197"/>
      <c r="Y28" s="197"/>
      <c r="Z28" s="197"/>
      <c r="AA28" s="197"/>
      <c r="AB28" s="197"/>
      <c r="AC28" s="197"/>
      <c r="AD28" s="197"/>
      <c r="AE28" s="197"/>
      <c r="AF28" s="197"/>
      <c r="AG28" s="197"/>
      <c r="AH28" s="197"/>
      <c r="AI28" s="197"/>
      <c r="AJ28" s="197"/>
      <c r="AK28" s="197"/>
      <c r="AL28" s="197"/>
      <c r="AM28" s="197"/>
      <c r="AN28" s="197"/>
      <c r="AO28" s="197"/>
      <c r="AP28" s="197"/>
      <c r="AQ28" s="197"/>
      <c r="AR28" s="197"/>
      <c r="AS28" s="197"/>
      <c r="AT28" s="197"/>
      <c r="AU28" s="197"/>
      <c r="AV28" s="197"/>
      <c r="AW28" s="197"/>
      <c r="AX28" s="197"/>
      <c r="AY28" s="197"/>
      <c r="AZ28" s="197"/>
      <c r="BA28" s="197"/>
      <c r="BB28" s="197"/>
      <c r="BC28" s="198"/>
      <c r="BD28" s="193"/>
      <c r="BE28" s="194"/>
      <c r="BF28" s="194"/>
      <c r="BG28" s="194"/>
      <c r="BH28" s="194"/>
      <c r="BI28" s="194"/>
      <c r="BJ28" s="195"/>
    </row>
    <row r="29" spans="1:62" ht="40.5" customHeight="1">
      <c r="A29" s="193"/>
      <c r="B29" s="194"/>
      <c r="C29" s="195"/>
      <c r="D29" s="196"/>
      <c r="E29" s="197"/>
      <c r="F29" s="197"/>
      <c r="G29" s="197"/>
      <c r="H29" s="197"/>
      <c r="I29" s="197"/>
      <c r="J29" s="197"/>
      <c r="K29" s="197"/>
      <c r="L29" s="197"/>
      <c r="M29" s="197"/>
      <c r="N29" s="197"/>
      <c r="O29" s="197"/>
      <c r="P29" s="197"/>
      <c r="Q29" s="198"/>
      <c r="R29" s="196"/>
      <c r="S29" s="197"/>
      <c r="T29" s="197"/>
      <c r="U29" s="197"/>
      <c r="V29" s="197"/>
      <c r="W29" s="197"/>
      <c r="X29" s="197"/>
      <c r="Y29" s="197"/>
      <c r="Z29" s="197"/>
      <c r="AA29" s="197"/>
      <c r="AB29" s="197"/>
      <c r="AC29" s="197"/>
      <c r="AD29" s="197"/>
      <c r="AE29" s="197"/>
      <c r="AF29" s="197"/>
      <c r="AG29" s="197"/>
      <c r="AH29" s="197"/>
      <c r="AI29" s="197"/>
      <c r="AJ29" s="197"/>
      <c r="AK29" s="197"/>
      <c r="AL29" s="197"/>
      <c r="AM29" s="197"/>
      <c r="AN29" s="197"/>
      <c r="AO29" s="197"/>
      <c r="AP29" s="197"/>
      <c r="AQ29" s="197"/>
      <c r="AR29" s="197"/>
      <c r="AS29" s="197"/>
      <c r="AT29" s="197"/>
      <c r="AU29" s="197"/>
      <c r="AV29" s="197"/>
      <c r="AW29" s="197"/>
      <c r="AX29" s="197"/>
      <c r="AY29" s="197"/>
      <c r="AZ29" s="197"/>
      <c r="BA29" s="197"/>
      <c r="BB29" s="197"/>
      <c r="BC29" s="198"/>
      <c r="BD29" s="193"/>
      <c r="BE29" s="194"/>
      <c r="BF29" s="194"/>
      <c r="BG29" s="194"/>
      <c r="BH29" s="194"/>
      <c r="BI29" s="194"/>
      <c r="BJ29" s="195"/>
    </row>
    <row r="30" spans="1:62" ht="40.5" customHeight="1">
      <c r="A30" s="193"/>
      <c r="B30" s="194"/>
      <c r="C30" s="195"/>
      <c r="D30" s="196"/>
      <c r="E30" s="197"/>
      <c r="F30" s="197"/>
      <c r="G30" s="197"/>
      <c r="H30" s="197"/>
      <c r="I30" s="197"/>
      <c r="J30" s="197"/>
      <c r="K30" s="197"/>
      <c r="L30" s="197"/>
      <c r="M30" s="197"/>
      <c r="N30" s="197"/>
      <c r="O30" s="197"/>
      <c r="P30" s="197"/>
      <c r="Q30" s="198"/>
      <c r="R30" s="196"/>
      <c r="S30" s="197"/>
      <c r="T30" s="197"/>
      <c r="U30" s="197"/>
      <c r="V30" s="197"/>
      <c r="W30" s="197"/>
      <c r="X30" s="197"/>
      <c r="Y30" s="197"/>
      <c r="Z30" s="197"/>
      <c r="AA30" s="197"/>
      <c r="AB30" s="197"/>
      <c r="AC30" s="197"/>
      <c r="AD30" s="197"/>
      <c r="AE30" s="197"/>
      <c r="AF30" s="197"/>
      <c r="AG30" s="197"/>
      <c r="AH30" s="197"/>
      <c r="AI30" s="197"/>
      <c r="AJ30" s="197"/>
      <c r="AK30" s="197"/>
      <c r="AL30" s="197"/>
      <c r="AM30" s="197"/>
      <c r="AN30" s="197"/>
      <c r="AO30" s="197"/>
      <c r="AP30" s="197"/>
      <c r="AQ30" s="197"/>
      <c r="AR30" s="197"/>
      <c r="AS30" s="197"/>
      <c r="AT30" s="197"/>
      <c r="AU30" s="197"/>
      <c r="AV30" s="197"/>
      <c r="AW30" s="197"/>
      <c r="AX30" s="197"/>
      <c r="AY30" s="197"/>
      <c r="AZ30" s="197"/>
      <c r="BA30" s="197"/>
      <c r="BB30" s="197"/>
      <c r="BC30" s="198"/>
      <c r="BD30" s="193"/>
      <c r="BE30" s="194"/>
      <c r="BF30" s="194"/>
      <c r="BG30" s="194"/>
      <c r="BH30" s="194"/>
      <c r="BI30" s="194"/>
      <c r="BJ30" s="195"/>
    </row>
    <row r="31" spans="1:62" ht="40.5" customHeight="1">
      <c r="A31" s="193"/>
      <c r="B31" s="194"/>
      <c r="C31" s="195"/>
      <c r="D31" s="196"/>
      <c r="E31" s="197"/>
      <c r="F31" s="197"/>
      <c r="G31" s="197"/>
      <c r="H31" s="197"/>
      <c r="I31" s="197"/>
      <c r="J31" s="197"/>
      <c r="K31" s="197"/>
      <c r="L31" s="197"/>
      <c r="M31" s="197"/>
      <c r="N31" s="197"/>
      <c r="O31" s="197"/>
      <c r="P31" s="197"/>
      <c r="Q31" s="198"/>
      <c r="R31" s="196"/>
      <c r="S31" s="197"/>
      <c r="T31" s="197"/>
      <c r="U31" s="197"/>
      <c r="V31" s="197"/>
      <c r="W31" s="197"/>
      <c r="X31" s="197"/>
      <c r="Y31" s="197"/>
      <c r="Z31" s="197"/>
      <c r="AA31" s="197"/>
      <c r="AB31" s="197"/>
      <c r="AC31" s="197"/>
      <c r="AD31" s="197"/>
      <c r="AE31" s="197"/>
      <c r="AF31" s="197"/>
      <c r="AG31" s="197"/>
      <c r="AH31" s="197"/>
      <c r="AI31" s="197"/>
      <c r="AJ31" s="197"/>
      <c r="AK31" s="197"/>
      <c r="AL31" s="197"/>
      <c r="AM31" s="197"/>
      <c r="AN31" s="197"/>
      <c r="AO31" s="197"/>
      <c r="AP31" s="197"/>
      <c r="AQ31" s="197"/>
      <c r="AR31" s="197"/>
      <c r="AS31" s="197"/>
      <c r="AT31" s="197"/>
      <c r="AU31" s="197"/>
      <c r="AV31" s="197"/>
      <c r="AW31" s="197"/>
      <c r="AX31" s="197"/>
      <c r="AY31" s="197"/>
      <c r="AZ31" s="197"/>
      <c r="BA31" s="197"/>
      <c r="BB31" s="197"/>
      <c r="BC31" s="198"/>
      <c r="BD31" s="193"/>
      <c r="BE31" s="194"/>
      <c r="BF31" s="194"/>
      <c r="BG31" s="194"/>
      <c r="BH31" s="194"/>
      <c r="BI31" s="194"/>
      <c r="BJ31" s="195"/>
    </row>
    <row r="32" spans="1:62" ht="40.5" customHeight="1">
      <c r="A32" s="202"/>
      <c r="B32" s="203"/>
      <c r="C32" s="204"/>
      <c r="D32" s="205"/>
      <c r="E32" s="206"/>
      <c r="F32" s="206"/>
      <c r="G32" s="206"/>
      <c r="H32" s="206"/>
      <c r="I32" s="206"/>
      <c r="J32" s="206"/>
      <c r="K32" s="206"/>
      <c r="L32" s="206"/>
      <c r="M32" s="206"/>
      <c r="N32" s="206"/>
      <c r="O32" s="206"/>
      <c r="P32" s="206"/>
      <c r="Q32" s="207"/>
      <c r="R32" s="205"/>
      <c r="S32" s="206"/>
      <c r="T32" s="206"/>
      <c r="U32" s="206"/>
      <c r="V32" s="206"/>
      <c r="W32" s="206"/>
      <c r="X32" s="206"/>
      <c r="Y32" s="206"/>
      <c r="Z32" s="206"/>
      <c r="AA32" s="206"/>
      <c r="AB32" s="206"/>
      <c r="AC32" s="206"/>
      <c r="AD32" s="206"/>
      <c r="AE32" s="206"/>
      <c r="AF32" s="206"/>
      <c r="AG32" s="206"/>
      <c r="AH32" s="206"/>
      <c r="AI32" s="206"/>
      <c r="AJ32" s="206"/>
      <c r="AK32" s="206"/>
      <c r="AL32" s="206"/>
      <c r="AM32" s="206"/>
      <c r="AN32" s="206"/>
      <c r="AO32" s="206"/>
      <c r="AP32" s="206"/>
      <c r="AQ32" s="206"/>
      <c r="AR32" s="206"/>
      <c r="AS32" s="206"/>
      <c r="AT32" s="206"/>
      <c r="AU32" s="206"/>
      <c r="AV32" s="206"/>
      <c r="AW32" s="206"/>
      <c r="AX32" s="206"/>
      <c r="AY32" s="206"/>
      <c r="AZ32" s="206"/>
      <c r="BA32" s="206"/>
      <c r="BB32" s="206"/>
      <c r="BC32" s="207"/>
      <c r="BD32" s="202"/>
      <c r="BE32" s="203"/>
      <c r="BF32" s="203"/>
      <c r="BG32" s="203"/>
      <c r="BH32" s="203"/>
      <c r="BI32" s="203"/>
      <c r="BJ32" s="204"/>
    </row>
    <row r="33" spans="2:19" s="10" customFormat="1" ht="6" customHeight="1">
      <c r="B33" s="9"/>
      <c r="C33" s="9"/>
      <c r="D33" s="9"/>
      <c r="E33" s="9"/>
      <c r="F33" s="9"/>
      <c r="G33" s="9"/>
      <c r="H33" s="9"/>
      <c r="I33" s="9"/>
      <c r="J33" s="9"/>
      <c r="K33" s="9"/>
      <c r="L33" s="9"/>
      <c r="M33" s="9"/>
      <c r="N33" s="9"/>
      <c r="O33" s="9"/>
      <c r="P33" s="9"/>
      <c r="Q33" s="9"/>
      <c r="R33" s="9"/>
      <c r="S33" s="9"/>
    </row>
    <row r="34" spans="2:19" ht="21" customHeight="1">
      <c r="B34" s="11"/>
      <c r="C34" s="11"/>
      <c r="D34" s="11"/>
      <c r="E34" s="11"/>
      <c r="F34" s="11"/>
      <c r="G34" s="11"/>
      <c r="H34" s="11"/>
      <c r="I34" s="11"/>
      <c r="J34" s="11"/>
      <c r="K34" s="11"/>
      <c r="L34" s="11"/>
      <c r="M34" s="11"/>
      <c r="N34" s="11"/>
      <c r="O34" s="11"/>
      <c r="P34" s="11"/>
      <c r="Q34" s="11"/>
      <c r="R34" s="11"/>
      <c r="S34" s="11"/>
    </row>
    <row r="35" spans="2:19" ht="24" customHeight="1"/>
    <row r="36" spans="2:19" ht="24" customHeight="1"/>
    <row r="37" spans="2:19" ht="24" customHeight="1"/>
    <row r="38" spans="2:19" ht="24" customHeight="1"/>
    <row r="39" spans="2:19" ht="24" customHeight="1"/>
    <row r="40" spans="2:19" ht="24" customHeight="1"/>
    <row r="41" spans="2:19" ht="24" customHeight="1"/>
    <row r="42" spans="2:19" ht="24" customHeight="1"/>
    <row r="43" spans="2:19" ht="17.100000000000001" customHeight="1"/>
    <row r="44" spans="2:19" ht="17.100000000000001" customHeight="1"/>
    <row r="45" spans="2:19" ht="17.100000000000001" customHeight="1"/>
    <row r="46" spans="2:19" ht="17.100000000000001" customHeight="1"/>
  </sheetData>
  <mergeCells count="113">
    <mergeCell ref="A31:C31"/>
    <mergeCell ref="D31:Q31"/>
    <mergeCell ref="R31:BC31"/>
    <mergeCell ref="BD31:BJ31"/>
    <mergeCell ref="A32:C32"/>
    <mergeCell ref="D32:Q32"/>
    <mergeCell ref="R32:BC32"/>
    <mergeCell ref="BD32:BJ32"/>
    <mergeCell ref="A30:C30"/>
    <mergeCell ref="D30:Q30"/>
    <mergeCell ref="R30:BC30"/>
    <mergeCell ref="BD30:BJ30"/>
    <mergeCell ref="A28:C28"/>
    <mergeCell ref="D28:Q28"/>
    <mergeCell ref="R28:BC28"/>
    <mergeCell ref="BD28:BJ28"/>
    <mergeCell ref="A29:C29"/>
    <mergeCell ref="D29:Q29"/>
    <mergeCell ref="R29:BC29"/>
    <mergeCell ref="BD29:BJ29"/>
    <mergeCell ref="A26:C26"/>
    <mergeCell ref="D26:Q26"/>
    <mergeCell ref="R26:BC26"/>
    <mergeCell ref="BD26:BJ26"/>
    <mergeCell ref="A27:C27"/>
    <mergeCell ref="D27:Q27"/>
    <mergeCell ref="R27:BC27"/>
    <mergeCell ref="BD27:BJ27"/>
    <mergeCell ref="A24:C24"/>
    <mergeCell ref="D24:Q24"/>
    <mergeCell ref="R24:BC24"/>
    <mergeCell ref="BD24:BJ24"/>
    <mergeCell ref="A25:C25"/>
    <mergeCell ref="D25:Q25"/>
    <mergeCell ref="R25:BC25"/>
    <mergeCell ref="BD25:BJ25"/>
    <mergeCell ref="A22:C22"/>
    <mergeCell ref="D22:Q22"/>
    <mergeCell ref="R22:BC22"/>
    <mergeCell ref="BD22:BJ22"/>
    <mergeCell ref="A23:C23"/>
    <mergeCell ref="D23:Q23"/>
    <mergeCell ref="R23:BC23"/>
    <mergeCell ref="BD23:BJ23"/>
    <mergeCell ref="A20:C20"/>
    <mergeCell ref="D20:Q20"/>
    <mergeCell ref="R20:BC20"/>
    <mergeCell ref="BD20:BJ20"/>
    <mergeCell ref="A21:C21"/>
    <mergeCell ref="D21:Q21"/>
    <mergeCell ref="R21:BC21"/>
    <mergeCell ref="BD21:BJ21"/>
    <mergeCell ref="A18:C18"/>
    <mergeCell ref="D18:Q18"/>
    <mergeCell ref="R18:BC18"/>
    <mergeCell ref="BD18:BJ18"/>
    <mergeCell ref="A19:C19"/>
    <mergeCell ref="D19:Q19"/>
    <mergeCell ref="R19:BC19"/>
    <mergeCell ref="BD19:BJ19"/>
    <mergeCell ref="A16:C16"/>
    <mergeCell ref="D16:Q16"/>
    <mergeCell ref="R16:BC16"/>
    <mergeCell ref="BD16:BJ16"/>
    <mergeCell ref="A17:C17"/>
    <mergeCell ref="D17:Q17"/>
    <mergeCell ref="R17:BC17"/>
    <mergeCell ref="BD17:BJ17"/>
    <mergeCell ref="A14:C14"/>
    <mergeCell ref="D14:Q14"/>
    <mergeCell ref="R14:BC14"/>
    <mergeCell ref="BD14:BJ14"/>
    <mergeCell ref="A15:C15"/>
    <mergeCell ref="D15:Q15"/>
    <mergeCell ref="R15:BC15"/>
    <mergeCell ref="BD15:BJ15"/>
    <mergeCell ref="A12:C12"/>
    <mergeCell ref="D12:Q12"/>
    <mergeCell ref="R12:BC12"/>
    <mergeCell ref="BD12:BJ12"/>
    <mergeCell ref="A13:C13"/>
    <mergeCell ref="D13:Q13"/>
    <mergeCell ref="R13:BC13"/>
    <mergeCell ref="BD13:BJ13"/>
    <mergeCell ref="A10:C10"/>
    <mergeCell ref="D10:Q10"/>
    <mergeCell ref="R10:BC10"/>
    <mergeCell ref="BD10:BJ10"/>
    <mergeCell ref="A11:C11"/>
    <mergeCell ref="D11:Q11"/>
    <mergeCell ref="R11:BC11"/>
    <mergeCell ref="BD11:BJ11"/>
    <mergeCell ref="A8:C8"/>
    <mergeCell ref="D8:Q8"/>
    <mergeCell ref="R8:BC8"/>
    <mergeCell ref="BD8:BJ8"/>
    <mergeCell ref="A9:C9"/>
    <mergeCell ref="D9:Q9"/>
    <mergeCell ref="R9:BC9"/>
    <mergeCell ref="BD9:BJ9"/>
    <mergeCell ref="AT4:AX4"/>
    <mergeCell ref="AY4:BJ4"/>
    <mergeCell ref="A6:K6"/>
    <mergeCell ref="L6:BJ6"/>
    <mergeCell ref="A2:AS2"/>
    <mergeCell ref="AT2:AX2"/>
    <mergeCell ref="BG2:BJ2"/>
    <mergeCell ref="AT3:AX3"/>
    <mergeCell ref="AY3:BJ3"/>
    <mergeCell ref="AY2:BB2"/>
    <mergeCell ref="BC2:BF2"/>
    <mergeCell ref="A3:H4"/>
    <mergeCell ref="I3:AS4"/>
  </mergeCells>
  <phoneticPr fontId="1"/>
  <pageMargins left="0.62" right="0.46" top="0.64" bottom="0.48" header="0.84" footer="0.21"/>
  <pageSetup paperSize="9" scale="71" fitToHeight="0"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BC180E8-4BC6-4DD6-B34E-AE51BE82764A}"/>
</file>

<file path=customXml/itemProps2.xml><?xml version="1.0" encoding="utf-8"?>
<ds:datastoreItem xmlns:ds="http://schemas.openxmlformats.org/officeDocument/2006/customXml" ds:itemID="{A954EBD4-2D83-4AEB-944C-9294E0E8B9BB}">
  <ds:schemaRefs>
    <ds:schemaRef ds:uri="http://schemas.microsoft.com/sharepoint/v3/contenttype/forms"/>
  </ds:schemaRefs>
</ds:datastoreItem>
</file>

<file path=customXml/itemProps3.xml><?xml version="1.0" encoding="utf-8"?>
<ds:datastoreItem xmlns:ds="http://schemas.openxmlformats.org/officeDocument/2006/customXml" ds:itemID="{011DAE9A-7E43-4B8A-A380-4C7F6BA6A403}">
  <ds:schemaRefs>
    <ds:schemaRef ds:uri="http://purl.org/dc/terms/"/>
    <ds:schemaRef ds:uri="b9cc7365-e218-4624-aedb-0a55e821af1f"/>
    <ds:schemaRef ds:uri="http://schemas.microsoft.com/office/2006/documentManagement/types"/>
    <ds:schemaRef ds:uri="4a1f72ec-30b8-4383-892a-fcacdd251f13"/>
    <ds:schemaRef ds:uri="http://schemas.microsoft.com/office/infopath/2007/PartnerControls"/>
    <ds:schemaRef ds:uri="http://www.w3.org/XML/1998/namespace"/>
    <ds:schemaRef ds:uri="http://purl.org/dc/dcmitype/"/>
    <ds:schemaRef ds:uri="http://schemas.openxmlformats.org/package/2006/metadata/core-properties"/>
    <ds:schemaRef ds:uri="http://schemas.microsoft.com/office/2006/metadata/properties"/>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10</vt:i4>
      </vt:variant>
    </vt:vector>
  </HeadingPairs>
  <TitlesOfParts>
    <vt:vector size="18" baseType="lpstr">
      <vt:lpstr>変更履歴</vt:lpstr>
      <vt:lpstr>項目定義書</vt:lpstr>
      <vt:lpstr>CSVイメージ</vt:lpstr>
      <vt:lpstr>CSVイメージ _データ_1</vt:lpstr>
      <vt:lpstr>CSVイメージ _データ_２</vt:lpstr>
      <vt:lpstr>CSVイメージ _データ(施設・会計情報品名が指定された場合)</vt:lpstr>
      <vt:lpstr>取込チェック・単体</vt:lpstr>
      <vt:lpstr>取込チェック・関連</vt:lpstr>
      <vt:lpstr>CSVイメージ!Print_Area</vt:lpstr>
      <vt:lpstr>項目定義書!Print_Area</vt:lpstr>
      <vt:lpstr>取込チェック・関連!Print_Area</vt:lpstr>
      <vt:lpstr>取込チェック・単体!Print_Area</vt:lpstr>
      <vt:lpstr>変更履歴!Print_Area</vt:lpstr>
      <vt:lpstr>CSVイメージ!Print_Titles</vt:lpstr>
      <vt:lpstr>項目定義書!Print_Titles</vt:lpstr>
      <vt:lpstr>取込チェック・関連!Print_Titles</vt:lpstr>
      <vt:lpstr>取込チェック・単体!Print_Titles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中西 佳琳</cp:lastModifiedBy>
  <cp:revision/>
  <cp:lastPrinted>2025-06-23T01:57:00Z</cp:lastPrinted>
  <dcterms:created xsi:type="dcterms:W3CDTF">2001-03-06T02:20:07Z</dcterms:created>
  <dcterms:modified xsi:type="dcterms:W3CDTF">2025-08-26T06:06:18Z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