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3.管理会計データ出力\"/>
    </mc:Choice>
  </mc:AlternateContent>
  <xr:revisionPtr revIDLastSave="0" documentId="13_ncr:1_{C7A05681-3798-45EB-BE0C-858FB845AB39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1" sheetId="32" r:id="rId4"/>
    <sheet name="CSVイメージ_データ2" sheetId="33" r:id="rId5"/>
    <sheet name="取込チェック・単体" sheetId="22" r:id="rId6"/>
    <sheet name="取込チェック・関連" sheetId="23" r:id="rId7"/>
  </sheets>
  <definedNames>
    <definedName name="_xlnm._FilterDatabase" localSheetId="2" hidden="1">CSVイメージ!$A$9:$BJ$9</definedName>
    <definedName name="_xlnm._FilterDatabase" localSheetId="1" hidden="1">項目定義書!$A$34:$BJ$34</definedName>
    <definedName name="_xlnm.Print_Area" localSheetId="2">CSVイメージ!$A$1:$BJ$58</definedName>
    <definedName name="_xlnm.Print_Area" localSheetId="1">項目定義書!$A$1:$BJ$71</definedName>
    <definedName name="_xlnm.Print_Area" localSheetId="6">取込チェック・関連!$A$1:$BJ$33</definedName>
    <definedName name="_xlnm.Print_Area" localSheetId="5">取込チェック・単体!$A$1:$BJ$33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項目定義書!$1:$34</definedName>
    <definedName name="_xlnm.Print_Titles" localSheetId="6">取込チェック・関連!$1:$8</definedName>
    <definedName name="_xlnm.Print_Titles" localSheetId="5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4" i="33" l="1"/>
  <c r="AD144" i="33"/>
  <c r="AC144" i="33"/>
  <c r="AE143" i="33"/>
  <c r="AD143" i="33"/>
  <c r="AC143" i="33"/>
  <c r="AE142" i="33"/>
  <c r="AD142" i="33"/>
  <c r="AC142" i="33"/>
  <c r="AE141" i="33"/>
  <c r="AD141" i="33"/>
  <c r="AC141" i="33"/>
  <c r="AE140" i="33"/>
  <c r="AD140" i="33"/>
  <c r="AC140" i="33"/>
  <c r="AE139" i="33"/>
  <c r="AD139" i="33"/>
  <c r="AC139" i="33"/>
  <c r="AE138" i="33"/>
  <c r="AD138" i="33"/>
  <c r="AC138" i="33"/>
  <c r="AE137" i="33"/>
  <c r="AD137" i="33"/>
  <c r="AC137" i="33"/>
  <c r="AE136" i="33"/>
  <c r="AD136" i="33"/>
  <c r="AC136" i="33"/>
  <c r="AE135" i="33"/>
  <c r="AD135" i="33"/>
  <c r="AC135" i="33"/>
  <c r="AE51" i="33"/>
  <c r="AD42" i="33"/>
  <c r="AE42" i="33"/>
  <c r="AD43" i="33"/>
  <c r="AE43" i="33"/>
  <c r="AD44" i="33"/>
  <c r="AE44" i="33"/>
  <c r="AD45" i="33"/>
  <c r="AE45" i="33"/>
  <c r="AD46" i="33"/>
  <c r="AE46" i="33"/>
  <c r="AD47" i="33"/>
  <c r="AE47" i="33"/>
  <c r="AD48" i="33"/>
  <c r="AE48" i="33"/>
  <c r="AD49" i="33"/>
  <c r="AE49" i="33"/>
  <c r="AD50" i="33"/>
  <c r="AE50" i="33"/>
  <c r="AD51" i="33"/>
  <c r="AC43" i="33"/>
  <c r="AC44" i="33"/>
  <c r="AC45" i="33"/>
  <c r="AF45" i="33" s="1"/>
  <c r="AC46" i="33"/>
  <c r="AC47" i="33"/>
  <c r="AC48" i="33"/>
  <c r="AC49" i="33"/>
  <c r="AC50" i="33"/>
  <c r="AC51" i="33"/>
  <c r="AC42" i="33"/>
  <c r="BF6" i="31"/>
  <c r="AF144" i="33" l="1"/>
  <c r="AF47" i="33"/>
  <c r="AF136" i="33"/>
  <c r="AF135" i="33"/>
  <c r="AF143" i="33"/>
  <c r="AF138" i="33"/>
  <c r="AF137" i="33"/>
  <c r="AF44" i="33"/>
  <c r="AF141" i="33"/>
  <c r="AF142" i="33"/>
  <c r="AF140" i="33"/>
  <c r="AF50" i="33"/>
  <c r="AF49" i="33"/>
  <c r="AF48" i="33"/>
  <c r="AF42" i="33"/>
  <c r="AF43" i="33"/>
  <c r="AF51" i="33"/>
  <c r="BF6" i="28"/>
  <c r="AF164" i="33"/>
  <c r="AF163" i="33"/>
  <c r="AF162" i="33"/>
  <c r="AF161" i="33"/>
  <c r="AF160" i="33"/>
  <c r="AF158" i="33"/>
  <c r="AF157" i="33"/>
  <c r="AF156" i="33"/>
  <c r="AF155" i="33"/>
  <c r="AF154" i="33"/>
  <c r="AF153" i="33"/>
  <c r="AF152" i="33"/>
  <c r="AF151" i="33"/>
  <c r="AF150" i="33"/>
  <c r="AF148" i="33"/>
  <c r="AF147" i="33"/>
  <c r="AF146" i="33"/>
  <c r="AF145" i="33"/>
  <c r="AF174" i="33"/>
  <c r="AF173" i="33"/>
  <c r="AF172" i="33"/>
  <c r="AF171" i="33"/>
  <c r="AF170" i="33"/>
  <c r="AF168" i="33"/>
  <c r="AF167" i="33"/>
  <c r="AF166" i="33"/>
  <c r="AF165" i="33"/>
  <c r="AF184" i="33"/>
  <c r="AF183" i="33"/>
  <c r="AF182" i="33"/>
  <c r="AF181" i="33"/>
  <c r="AF180" i="33"/>
  <c r="AF178" i="33"/>
  <c r="AF177" i="33"/>
  <c r="AF176" i="33"/>
  <c r="AF175" i="33"/>
  <c r="AF194" i="33"/>
  <c r="AF193" i="33"/>
  <c r="AF192" i="33"/>
  <c r="AF191" i="33"/>
  <c r="AF190" i="33"/>
  <c r="AF188" i="33"/>
  <c r="AF187" i="33"/>
  <c r="AF186" i="33"/>
  <c r="AF185" i="33"/>
  <c r="AF134" i="33"/>
  <c r="AF133" i="33"/>
  <c r="AF132" i="33"/>
  <c r="AF131" i="33"/>
  <c r="AF130" i="33"/>
  <c r="AF128" i="33"/>
  <c r="AF127" i="33"/>
  <c r="AF126" i="33"/>
  <c r="AF125" i="33"/>
  <c r="AF124" i="33"/>
  <c r="AF123" i="33"/>
  <c r="AF122" i="33"/>
  <c r="AF121" i="33"/>
  <c r="AF120" i="33"/>
  <c r="AF118" i="33"/>
  <c r="AF117" i="33"/>
  <c r="AF116" i="33"/>
  <c r="AF115" i="33"/>
  <c r="AF114" i="33"/>
  <c r="AF113" i="33"/>
  <c r="AF112" i="33"/>
  <c r="AF111" i="33"/>
  <c r="AF110" i="33"/>
  <c r="AF108" i="33"/>
  <c r="AF107" i="33"/>
  <c r="AF106" i="33"/>
  <c r="AF105" i="33"/>
  <c r="AF61" i="33"/>
  <c r="AF60" i="33"/>
  <c r="AF59" i="33"/>
  <c r="AF58" i="33"/>
  <c r="AF57" i="33"/>
  <c r="AF55" i="33"/>
  <c r="AF54" i="33"/>
  <c r="AF53" i="33"/>
  <c r="AF52" i="33"/>
  <c r="AF91" i="33"/>
  <c r="AF90" i="33"/>
  <c r="AF89" i="33"/>
  <c r="AF88" i="33"/>
  <c r="AF87" i="33"/>
  <c r="AF85" i="33"/>
  <c r="AF84" i="33"/>
  <c r="AF83" i="33"/>
  <c r="AF82" i="33"/>
  <c r="AF101" i="33"/>
  <c r="AF100" i="33"/>
  <c r="AF99" i="33"/>
  <c r="AF98" i="33"/>
  <c r="AF97" i="33"/>
  <c r="AF95" i="33"/>
  <c r="AF94" i="33"/>
  <c r="AF93" i="33"/>
  <c r="AF92" i="33"/>
  <c r="AF41" i="33"/>
  <c r="AF40" i="33"/>
  <c r="AF39" i="33"/>
  <c r="AF38" i="33"/>
  <c r="AF37" i="33"/>
  <c r="AF35" i="33"/>
  <c r="AF34" i="33"/>
  <c r="AF33" i="33"/>
  <c r="AF32" i="33"/>
  <c r="AF71" i="33"/>
  <c r="AF70" i="33"/>
  <c r="AF69" i="33"/>
  <c r="AF68" i="33"/>
  <c r="AF67" i="33"/>
  <c r="AF65" i="33"/>
  <c r="AF64" i="33"/>
  <c r="AF63" i="33"/>
  <c r="AF62" i="33"/>
  <c r="AF81" i="33"/>
  <c r="AF80" i="33"/>
  <c r="AF79" i="33"/>
  <c r="AF78" i="33"/>
  <c r="AF77" i="33"/>
  <c r="AF75" i="33"/>
  <c r="AF74" i="33"/>
  <c r="AF73" i="33"/>
  <c r="AF72" i="33"/>
  <c r="AF31" i="33"/>
  <c r="AF30" i="33"/>
  <c r="AF29" i="33"/>
  <c r="AF28" i="33"/>
  <c r="AF27" i="33"/>
  <c r="AF25" i="33"/>
  <c r="AF24" i="33"/>
  <c r="AF23" i="33"/>
  <c r="AF22" i="33"/>
  <c r="AF21" i="33"/>
  <c r="AF20" i="33"/>
  <c r="AF19" i="33"/>
  <c r="AF18" i="33"/>
  <c r="AF17" i="33"/>
  <c r="AF15" i="33"/>
  <c r="AF14" i="33"/>
  <c r="AF13" i="33"/>
  <c r="AF12" i="33"/>
  <c r="AF86" i="32"/>
  <c r="AF85" i="32"/>
  <c r="AF76" i="32"/>
  <c r="AF75" i="32"/>
  <c r="AF66" i="32"/>
  <c r="AF65" i="32"/>
  <c r="AF56" i="32"/>
  <c r="AF55" i="32"/>
  <c r="AF43" i="32"/>
  <c r="AF42" i="32"/>
  <c r="AF33" i="32"/>
  <c r="AF32" i="32"/>
  <c r="AF23" i="32"/>
  <c r="AF22" i="32"/>
  <c r="AF13" i="32"/>
  <c r="AF12" i="32"/>
  <c r="AF91" i="32"/>
  <c r="AF81" i="32"/>
  <c r="AF71" i="32"/>
  <c r="AF61" i="32"/>
  <c r="AF48" i="32"/>
  <c r="AF38" i="32"/>
  <c r="AF28" i="32"/>
  <c r="AF94" i="32"/>
  <c r="AF93" i="32"/>
  <c r="AF92" i="32"/>
  <c r="AF90" i="32"/>
  <c r="AF88" i="32"/>
  <c r="AF87" i="32"/>
  <c r="AF84" i="32"/>
  <c r="AF83" i="32"/>
  <c r="AF82" i="32"/>
  <c r="AF80" i="32"/>
  <c r="AF78" i="32"/>
  <c r="AF77" i="32"/>
  <c r="AF74" i="32"/>
  <c r="AF73" i="32"/>
  <c r="AF72" i="32"/>
  <c r="AF70" i="32"/>
  <c r="AF68" i="32"/>
  <c r="AF67" i="32"/>
  <c r="AF64" i="32"/>
  <c r="AF63" i="32"/>
  <c r="AF62" i="32"/>
  <c r="AF60" i="32"/>
  <c r="AF58" i="32"/>
  <c r="AF57" i="32"/>
  <c r="AF51" i="32"/>
  <c r="AF50" i="32"/>
  <c r="AF49" i="32"/>
  <c r="AF47" i="32"/>
  <c r="AF45" i="32"/>
  <c r="AF44" i="32"/>
  <c r="AF41" i="32"/>
  <c r="AF40" i="32"/>
  <c r="AF39" i="32"/>
  <c r="AF37" i="32"/>
  <c r="AF35" i="32"/>
  <c r="AF34" i="32"/>
  <c r="AF31" i="32"/>
  <c r="AF30" i="32"/>
  <c r="AF29" i="32"/>
  <c r="AF27" i="32"/>
  <c r="AF25" i="32"/>
  <c r="AF24" i="32"/>
  <c r="AF21" i="32"/>
  <c r="AF20" i="32"/>
  <c r="AF19" i="32"/>
  <c r="AF18" i="32"/>
  <c r="AF17" i="32"/>
  <c r="AF15" i="32"/>
  <c r="AF14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34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34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34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34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34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34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<sst xmlns="http://schemas.openxmlformats.org/spreadsheetml/2006/main" count="3546" uniqueCount="251">
  <si>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</si>
  <si>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</si>
  <si>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</si>
  <si>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</si>
  <si>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</si>
  <si>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</si>
  <si>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</si>
  <si>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</si>
  <si>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</si>
  <si>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</si>
  <si>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</si>
  <si>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</si>
  <si>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</si>
  <si>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</si>
  <si>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</si>
  <si>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</si>
  <si>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</si>
  <si>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</si>
  <si>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</si>
  <si>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</si>
  <si>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</si>
  <si>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</si>
  <si>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</si>
  <si>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</si>
  <si>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</si>
  <si>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</si>
  <si>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</si>
  <si>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</si>
  <si>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</si>
  <si>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</si>
  <si>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</si>
  <si>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</si>
  <si>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</si>
  <si>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</si>
  <si>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</si>
  <si>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</si>
  <si>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</si>
  <si>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</si>
  <si>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</si>
  <si>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</si>
  <si>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</si>
  <si>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</si>
  <si>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</si>
  <si>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</si>
  <si>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</si>
  <si>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</si>
  <si>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</si>
  <si>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</si>
  <si>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</si>
  <si>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</si>
  <si>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</si>
  <si>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</si>
  <si>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</si>
  <si>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勘定科目コード</t>
    <phoneticPr fontId="1"/>
  </si>
  <si>
    <t>勘定科目名称</t>
    <phoneticPr fontId="1"/>
  </si>
  <si>
    <t>漢字</t>
    <rPh sb="0" eb="2">
      <t>カンジ</t>
    </rPh>
    <phoneticPr fontId="1"/>
  </si>
  <si>
    <t>単位</t>
    <phoneticPr fontId="1"/>
  </si>
  <si>
    <t>前日残高</t>
    <phoneticPr fontId="1"/>
  </si>
  <si>
    <t>借方金額</t>
    <phoneticPr fontId="1"/>
  </si>
  <si>
    <t>貸方金額</t>
    <phoneticPr fontId="1"/>
  </si>
  <si>
    <t>当日残高</t>
    <phoneticPr fontId="1"/>
  </si>
  <si>
    <t>細目</t>
    <rPh sb="0" eb="2">
      <t>サイモク</t>
    </rPh>
    <phoneticPr fontId="1"/>
  </si>
  <si>
    <t>科目摘要コード</t>
    <phoneticPr fontId="1"/>
  </si>
  <si>
    <t>科目摘要名称</t>
    <phoneticPr fontId="1"/>
  </si>
  <si>
    <t>対象期間From</t>
    <phoneticPr fontId="1"/>
  </si>
  <si>
    <t>対象期間To</t>
    <phoneticPr fontId="1"/>
  </si>
  <si>
    <t>円</t>
    <phoneticPr fontId="1"/>
  </si>
  <si>
    <t>本所</t>
    <rPh sb="0" eb="2">
      <t>ホンショ</t>
    </rPh>
    <phoneticPr fontId="1"/>
  </si>
  <si>
    <t>酪農畜産事業本部</t>
    <rPh sb="0" eb="2">
      <t>ラクノウ</t>
    </rPh>
    <rPh sb="2" eb="4">
      <t>チクサン</t>
    </rPh>
    <rPh sb="4" eb="6">
      <t>ジギョウ</t>
    </rPh>
    <rPh sb="6" eb="8">
      <t>ホンブ</t>
    </rPh>
    <phoneticPr fontId="1"/>
  </si>
  <si>
    <t>牛乳乳製品</t>
    <rPh sb="0" eb="2">
      <t>ギュウニュウ</t>
    </rPh>
    <rPh sb="2" eb="5">
      <t>ニュウセイヒン</t>
    </rPh>
    <phoneticPr fontId="1"/>
  </si>
  <si>
    <t>未払金</t>
    <phoneticPr fontId="1"/>
  </si>
  <si>
    <t>01</t>
    <phoneticPr fontId="1"/>
  </si>
  <si>
    <t>加工原料費</t>
    <rPh sb="0" eb="2">
      <t>カコウ</t>
    </rPh>
    <rPh sb="2" eb="4">
      <t>ゲンリョウ</t>
    </rPh>
    <rPh sb="4" eb="5">
      <t>ヒ</t>
    </rPh>
    <phoneticPr fontId="1"/>
  </si>
  <si>
    <t>原料代</t>
    <phoneticPr fontId="1"/>
  </si>
  <si>
    <t>対象期間From</t>
  </si>
  <si>
    <t>対象期間To</t>
  </si>
  <si>
    <t>単位</t>
  </si>
  <si>
    <t>事業所コード</t>
  </si>
  <si>
    <t>事業所名称</t>
  </si>
  <si>
    <t>事業本部コード</t>
  </si>
  <si>
    <t>事業本部名称</t>
  </si>
  <si>
    <t>部門コード</t>
  </si>
  <si>
    <t>部門名称</t>
  </si>
  <si>
    <t>業種コード</t>
  </si>
  <si>
    <t>業種名称</t>
  </si>
  <si>
    <t>勘定科目コード</t>
  </si>
  <si>
    <t>勘定科目名称</t>
  </si>
  <si>
    <t>科目摘要コード</t>
  </si>
  <si>
    <t>科目摘要名称</t>
  </si>
  <si>
    <t>細目</t>
  </si>
  <si>
    <t>前日残高</t>
  </si>
  <si>
    <t>借方金額</t>
  </si>
  <si>
    <t>貸方金額</t>
  </si>
  <si>
    <t>当日残高</t>
  </si>
  <si>
    <t>円</t>
  </si>
  <si>
    <t>未収金</t>
  </si>
  <si>
    <t>00</t>
  </si>
  <si>
    <t>01</t>
  </si>
  <si>
    <t>一般</t>
  </si>
  <si>
    <t>1T004</t>
  </si>
  <si>
    <t>駐車場料金</t>
  </si>
  <si>
    <t>立替金</t>
  </si>
  <si>
    <t>管理本部</t>
  </si>
  <si>
    <t>お米券ギフト回収券</t>
  </si>
  <si>
    <t>管理</t>
  </si>
  <si>
    <t>事業所指定時のイメージ</t>
    <rPh sb="0" eb="3">
      <t>ジギョウショ</t>
    </rPh>
    <rPh sb="3" eb="5">
      <t>シテイ</t>
    </rPh>
    <rPh sb="5" eb="6">
      <t>ジ</t>
    </rPh>
    <phoneticPr fontId="1"/>
  </si>
  <si>
    <t>総合指定時のイメージ</t>
    <rPh sb="0" eb="2">
      <t>ソウゴウ</t>
    </rPh>
    <rPh sb="2" eb="4">
      <t>シテイ</t>
    </rPh>
    <rPh sb="4" eb="5">
      <t>ジ</t>
    </rPh>
    <phoneticPr fontId="1"/>
  </si>
  <si>
    <t>本所</t>
  </si>
  <si>
    <t>〇</t>
    <phoneticPr fontId="1"/>
  </si>
  <si>
    <t>相手先コード</t>
    <rPh sb="0" eb="3">
      <t>アイテサキ</t>
    </rPh>
    <phoneticPr fontId="1"/>
  </si>
  <si>
    <t>相手先名称</t>
    <rPh sb="0" eb="3">
      <t>アイテサキ</t>
    </rPh>
    <phoneticPr fontId="1"/>
  </si>
  <si>
    <t>出力対象の期間(From)を出力する。</t>
    <rPh sb="14" eb="16">
      <t>シュツリョク</t>
    </rPh>
    <phoneticPr fontId="1"/>
  </si>
  <si>
    <t>出力対象の期間(To)を出力する。</t>
    <phoneticPr fontId="1"/>
  </si>
  <si>
    <t>目節科目コード</t>
    <rPh sb="1" eb="2">
      <t>セツ</t>
    </rPh>
    <phoneticPr fontId="1"/>
  </si>
  <si>
    <t>目節科目名称</t>
    <phoneticPr fontId="1"/>
  </si>
  <si>
    <t>事業所コードを出力する。</t>
    <phoneticPr fontId="1"/>
  </si>
  <si>
    <t>事業所名称を出力する。</t>
    <phoneticPr fontId="1"/>
  </si>
  <si>
    <t>事業本部コードを出力する。</t>
    <phoneticPr fontId="1"/>
  </si>
  <si>
    <t>事業本部名称を出力する。</t>
    <phoneticPr fontId="1"/>
  </si>
  <si>
    <t>部門コードを出力する。</t>
    <phoneticPr fontId="1"/>
  </si>
  <si>
    <t>部門名称を出力する。</t>
    <phoneticPr fontId="1"/>
  </si>
  <si>
    <t>業種コードを出力する。</t>
    <phoneticPr fontId="1"/>
  </si>
  <si>
    <t>業種名称を出力する。</t>
    <phoneticPr fontId="1"/>
  </si>
  <si>
    <t>項科目コードを出力する。</t>
    <phoneticPr fontId="1"/>
  </si>
  <si>
    <t>項科目名称を出力する。</t>
    <phoneticPr fontId="1"/>
  </si>
  <si>
    <t>目節科目コードを出力する。</t>
    <rPh sb="1" eb="2">
      <t>セツ</t>
    </rPh>
    <phoneticPr fontId="1"/>
  </si>
  <si>
    <t>目節科目名称を出力する。</t>
    <phoneticPr fontId="1"/>
  </si>
  <si>
    <t>相手先コードを出力する。</t>
    <rPh sb="0" eb="3">
      <t>アイテサキ</t>
    </rPh>
    <rPh sb="7" eb="9">
      <t>シュツリョク</t>
    </rPh>
    <phoneticPr fontId="1"/>
  </si>
  <si>
    <t>相手先名称を出力する。</t>
    <rPh sb="0" eb="5">
      <t>アイテサキメイショウ</t>
    </rPh>
    <rPh sb="6" eb="8">
      <t>シュツリョク</t>
    </rPh>
    <phoneticPr fontId="1"/>
  </si>
  <si>
    <t>科目摘要コードを出力する。</t>
    <rPh sb="0" eb="4">
      <t>カモクテキヨウ</t>
    </rPh>
    <rPh sb="8" eb="10">
      <t>シュツリョク</t>
    </rPh>
    <phoneticPr fontId="1"/>
  </si>
  <si>
    <t>科目摘要細目を出力する。</t>
    <rPh sb="7" eb="9">
      <t>シュツリョク</t>
    </rPh>
    <phoneticPr fontId="1"/>
  </si>
  <si>
    <t>目節科目名称</t>
    <rPh sb="1" eb="2">
      <t>セツ</t>
    </rPh>
    <phoneticPr fontId="1"/>
  </si>
  <si>
    <t>300089007</t>
    <phoneticPr fontId="1"/>
  </si>
  <si>
    <t>山田　太郎</t>
    <rPh sb="0" eb="2">
      <t>ヤマダ</t>
    </rPh>
    <rPh sb="3" eb="5">
      <t>タロウ</t>
    </rPh>
    <phoneticPr fontId="1"/>
  </si>
  <si>
    <t>集計区分</t>
    <rPh sb="0" eb="4">
      <t>シュウケイクブン</t>
    </rPh>
    <phoneticPr fontId="1"/>
  </si>
  <si>
    <t>集計区分を出力する。</t>
    <phoneticPr fontId="1"/>
  </si>
  <si>
    <t>集計区分名称</t>
    <rPh sb="0" eb="2">
      <t>シュウケイ</t>
    </rPh>
    <rPh sb="2" eb="4">
      <t>クブン</t>
    </rPh>
    <rPh sb="4" eb="6">
      <t>メイショウ</t>
    </rPh>
    <phoneticPr fontId="1"/>
  </si>
  <si>
    <t>総合</t>
    <rPh sb="0" eb="2">
      <t>ソウゴウ</t>
    </rPh>
    <phoneticPr fontId="1"/>
  </si>
  <si>
    <t>集計区分</t>
    <phoneticPr fontId="1"/>
  </si>
  <si>
    <t>集計区分名称</t>
    <phoneticPr fontId="1"/>
  </si>
  <si>
    <t>11</t>
  </si>
  <si>
    <t>11</t>
    <phoneticPr fontId="1"/>
  </si>
  <si>
    <t>12</t>
  </si>
  <si>
    <t>12</t>
    <phoneticPr fontId="1"/>
  </si>
  <si>
    <t>13</t>
  </si>
  <si>
    <t>13</t>
    <phoneticPr fontId="1"/>
  </si>
  <si>
    <t>02</t>
  </si>
  <si>
    <t>02</t>
    <phoneticPr fontId="1"/>
  </si>
  <si>
    <t>事業所計</t>
    <rPh sb="0" eb="3">
      <t>ジギョウショ</t>
    </rPh>
    <rPh sb="3" eb="4">
      <t>ケイ</t>
    </rPh>
    <phoneticPr fontId="1"/>
  </si>
  <si>
    <t>対象期間の残高情報の借方金額合計を出力する。
0円の場合は空欄とする。
残高が0円ではないが単位未満の場合は0を出力する。
単位未満は切り捨てとする。</t>
    <rPh sb="24" eb="25">
      <t>エン</t>
    </rPh>
    <rPh sb="26" eb="28">
      <t>バアイ</t>
    </rPh>
    <rPh sb="29" eb="31">
      <t>クウラン</t>
    </rPh>
    <phoneticPr fontId="1"/>
  </si>
  <si>
    <t>対象期間の残高情報の前日残高合計を出力する。
0円の場合は空欄とする。
残高が0円ではないが単位未満の場合は0を出力する。
単位未満は切り捨てとする。</t>
    <rPh sb="17" eb="19">
      <t>シュツリョク</t>
    </rPh>
    <phoneticPr fontId="1"/>
  </si>
  <si>
    <t>対象期間の残高情報の貸方金額合計を出力する。
0円の場合は空欄とする。
残高が0円ではないが単位未満の場合は0を出力する。
単位未満は切り捨てとする。</t>
    <phoneticPr fontId="1"/>
  </si>
  <si>
    <t>対象期間の残高情報の当日残高合計を出力する。
0円の場合は空欄とする。
残高が0円ではないが単位未満の場合は0を出力する。
単位未満は切り捨てとする。</t>
    <phoneticPr fontId="1"/>
  </si>
  <si>
    <t>鈴木　太郎</t>
    <rPh sb="0" eb="2">
      <t>スズキ</t>
    </rPh>
    <rPh sb="3" eb="5">
      <t>タロウ</t>
    </rPh>
    <phoneticPr fontId="1"/>
  </si>
  <si>
    <t>購買未収金</t>
  </si>
  <si>
    <t>部コード</t>
    <rPh sb="0" eb="1">
      <t>ブ</t>
    </rPh>
    <phoneticPr fontId="1"/>
  </si>
  <si>
    <t>部名称</t>
    <rPh sb="0" eb="1">
      <t>ブ</t>
    </rPh>
    <rPh sb="1" eb="3">
      <t>メイショウ</t>
    </rPh>
    <phoneticPr fontId="1"/>
  </si>
  <si>
    <t>施設コード</t>
    <rPh sb="0" eb="2">
      <t>シセツ</t>
    </rPh>
    <phoneticPr fontId="1"/>
  </si>
  <si>
    <t>施設名称</t>
    <rPh sb="0" eb="2">
      <t>シセツ</t>
    </rPh>
    <rPh sb="2" eb="4">
      <t>メイショウ</t>
    </rPh>
    <phoneticPr fontId="1"/>
  </si>
  <si>
    <t>予算組織コード</t>
    <rPh sb="0" eb="4">
      <t>ヨサンソシキ</t>
    </rPh>
    <phoneticPr fontId="1"/>
  </si>
  <si>
    <t>予算組織名称</t>
    <rPh sb="0" eb="2">
      <t>ヨサン</t>
    </rPh>
    <rPh sb="2" eb="4">
      <t>ソシキ</t>
    </rPh>
    <rPh sb="4" eb="6">
      <t>メイショウ</t>
    </rPh>
    <phoneticPr fontId="1"/>
  </si>
  <si>
    <t>事業本部別</t>
    <rPh sb="0" eb="2">
      <t>ジギョウ</t>
    </rPh>
    <rPh sb="2" eb="4">
      <t>ホンブ</t>
    </rPh>
    <rPh sb="4" eb="5">
      <t>ベツ</t>
    </rPh>
    <phoneticPr fontId="1"/>
  </si>
  <si>
    <t>部門別</t>
    <rPh sb="0" eb="2">
      <t>ブモン</t>
    </rPh>
    <rPh sb="2" eb="3">
      <t>ベツ</t>
    </rPh>
    <phoneticPr fontId="1"/>
  </si>
  <si>
    <t>業種別</t>
    <rPh sb="0" eb="2">
      <t>ギョウシュ</t>
    </rPh>
    <rPh sb="2" eb="3">
      <t>ベツ</t>
    </rPh>
    <phoneticPr fontId="1"/>
  </si>
  <si>
    <t>365</t>
  </si>
  <si>
    <t>てん菜生産部</t>
  </si>
  <si>
    <t>5615</t>
  </si>
  <si>
    <t>女満別種子工場</t>
  </si>
  <si>
    <t>23</t>
  </si>
  <si>
    <t>22</t>
  </si>
  <si>
    <t>部別</t>
    <rPh sb="0" eb="2">
      <t>ブベツ</t>
    </rPh>
    <phoneticPr fontId="1"/>
  </si>
  <si>
    <t>4153</t>
  </si>
  <si>
    <t>砂糖製造課</t>
  </si>
  <si>
    <t>21</t>
  </si>
  <si>
    <t>てん菜</t>
    <rPh sb="1" eb="2">
      <t>サイ</t>
    </rPh>
    <phoneticPr fontId="1"/>
  </si>
  <si>
    <t>4152</t>
  </si>
  <si>
    <t>原料課</t>
  </si>
  <si>
    <t>採取</t>
    <rPh sb="0" eb="2">
      <t>サイシュ</t>
    </rPh>
    <phoneticPr fontId="1"/>
  </si>
  <si>
    <t>24</t>
  </si>
  <si>
    <t>4511</t>
  </si>
  <si>
    <t>農務技術課</t>
  </si>
  <si>
    <t>部コード</t>
    <rPh sb="0" eb="1">
      <t>ブ</t>
    </rPh>
    <phoneticPr fontId="6"/>
  </si>
  <si>
    <t>英数字</t>
    <rPh sb="0" eb="3">
      <t>エイスウジ</t>
    </rPh>
    <phoneticPr fontId="2"/>
  </si>
  <si>
    <t>部名称</t>
    <rPh sb="0" eb="1">
      <t>ブ</t>
    </rPh>
    <rPh sb="1" eb="3">
      <t>メイショウ</t>
    </rPh>
    <phoneticPr fontId="6"/>
  </si>
  <si>
    <t>漢字</t>
    <rPh sb="0" eb="2">
      <t>カンジ</t>
    </rPh>
    <phoneticPr fontId="2"/>
  </si>
  <si>
    <t>施設コード</t>
    <rPh sb="0" eb="2">
      <t>シセツ</t>
    </rPh>
    <phoneticPr fontId="6"/>
  </si>
  <si>
    <t>施設名称</t>
    <rPh sb="0" eb="2">
      <t>シセツ</t>
    </rPh>
    <rPh sb="2" eb="4">
      <t>メイショウ</t>
    </rPh>
    <phoneticPr fontId="6"/>
  </si>
  <si>
    <t>予算組織コード</t>
    <rPh sb="0" eb="4">
      <t>ヨサンソシキ</t>
    </rPh>
    <phoneticPr fontId="6"/>
  </si>
  <si>
    <t>予算組織名称</t>
    <rPh sb="2" eb="4">
      <t>ソシキ</t>
    </rPh>
    <rPh sb="4" eb="6">
      <t>メイショウ</t>
    </rPh>
    <phoneticPr fontId="6"/>
  </si>
  <si>
    <t>部コードを出力する。</t>
    <rPh sb="0" eb="1">
      <t>ブ</t>
    </rPh>
    <rPh sb="5" eb="7">
      <t>シュツリョク</t>
    </rPh>
    <phoneticPr fontId="1"/>
  </si>
  <si>
    <t>部コードに該当する名称を出力する。</t>
    <rPh sb="0" eb="1">
      <t>ブ</t>
    </rPh>
    <rPh sb="5" eb="7">
      <t>ガイトウ</t>
    </rPh>
    <rPh sb="9" eb="11">
      <t>メイショウ</t>
    </rPh>
    <rPh sb="12" eb="14">
      <t>シュツリョク</t>
    </rPh>
    <phoneticPr fontId="1"/>
  </si>
  <si>
    <t>施設コードを出力する。</t>
    <rPh sb="0" eb="2">
      <t>シセツ</t>
    </rPh>
    <rPh sb="6" eb="8">
      <t>シュツリョク</t>
    </rPh>
    <phoneticPr fontId="1"/>
  </si>
  <si>
    <t>施設コードに該当する名称を出力する。</t>
    <rPh sb="0" eb="2">
      <t>シセツ</t>
    </rPh>
    <rPh sb="6" eb="8">
      <t>ガイトウ</t>
    </rPh>
    <rPh sb="10" eb="12">
      <t>メイショウ</t>
    </rPh>
    <rPh sb="13" eb="15">
      <t>シュツリョク</t>
    </rPh>
    <phoneticPr fontId="1"/>
  </si>
  <si>
    <t>予算組織コードを出力する。</t>
    <rPh sb="0" eb="2">
      <t>ヨサン</t>
    </rPh>
    <rPh sb="2" eb="4">
      <t>ソシキ</t>
    </rPh>
    <rPh sb="8" eb="10">
      <t>シュツリョク</t>
    </rPh>
    <phoneticPr fontId="1"/>
  </si>
  <si>
    <t>予算組織コードに該当する名称を出力する。</t>
    <rPh sb="0" eb="2">
      <t>ヨサン</t>
    </rPh>
    <rPh sb="2" eb="4">
      <t>ソシキ</t>
    </rPh>
    <rPh sb="8" eb="10">
      <t>ガイトウ</t>
    </rPh>
    <rPh sb="12" eb="14">
      <t>メイショウ</t>
    </rPh>
    <rPh sb="15" eb="17">
      <t>シュツリョク</t>
    </rPh>
    <phoneticPr fontId="1"/>
  </si>
  <si>
    <t>361</t>
    <phoneticPr fontId="1"/>
  </si>
  <si>
    <t>種苗園芸部</t>
    <phoneticPr fontId="1"/>
  </si>
  <si>
    <t>5615</t>
    <phoneticPr fontId="1"/>
  </si>
  <si>
    <t>女満別種子工場</t>
    <phoneticPr fontId="1"/>
  </si>
  <si>
    <t>4511</t>
    <phoneticPr fontId="1"/>
  </si>
  <si>
    <t>農務技術課</t>
    <phoneticPr fontId="1"/>
  </si>
  <si>
    <t>20270801</t>
    <phoneticPr fontId="1"/>
  </si>
  <si>
    <t>20270831</t>
    <phoneticPr fontId="1"/>
  </si>
  <si>
    <t>90</t>
    <phoneticPr fontId="1"/>
  </si>
  <si>
    <t>43</t>
    <phoneticPr fontId="1"/>
  </si>
  <si>
    <t>24</t>
    <phoneticPr fontId="1"/>
  </si>
  <si>
    <t>種苗</t>
    <phoneticPr fontId="1"/>
  </si>
  <si>
    <t>210701</t>
    <phoneticPr fontId="1"/>
  </si>
  <si>
    <t>22123</t>
    <phoneticPr fontId="1"/>
  </si>
  <si>
    <t>2027</t>
    <phoneticPr fontId="1"/>
  </si>
  <si>
    <t>2000000</t>
    <phoneticPr fontId="1"/>
  </si>
  <si>
    <t>3000000</t>
    <phoneticPr fontId="1"/>
  </si>
  <si>
    <t>4000000</t>
    <phoneticPr fontId="1"/>
  </si>
  <si>
    <t>1000000</t>
    <phoneticPr fontId="1"/>
  </si>
  <si>
    <t>科目別相手先別残高表（目／節）（摘要）</t>
    <phoneticPr fontId="1"/>
  </si>
  <si>
    <t>関連チェック概要</t>
    <phoneticPr fontId="1"/>
  </si>
  <si>
    <t>事業所別</t>
    <rPh sb="0" eb="4">
      <t>ジギョウショベツ</t>
    </rPh>
    <phoneticPr fontId="1"/>
  </si>
  <si>
    <t>科目摘要名称を出力する。</t>
    <rPh sb="7" eb="9">
      <t>シュツリョク</t>
    </rPh>
    <phoneticPr fontId="1"/>
  </si>
  <si>
    <t>金額の単位を出力する。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</si>
  <si>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</si>
  <si>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</si>
  <si>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</si>
  <si>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業種別検索時</t>
    <rPh sb="0" eb="3">
      <t>ギョウシュベツ</t>
    </rPh>
    <rPh sb="3" eb="6">
      <t>ケンサクジ</t>
    </rPh>
    <phoneticPr fontId="1"/>
  </si>
  <si>
    <t>事業所コード</t>
    <rPh sb="0" eb="3">
      <t>ジギョウショ</t>
    </rPh>
    <phoneticPr fontId="1"/>
  </si>
  <si>
    <t>昇順</t>
  </si>
  <si>
    <t>事業本部コード</t>
    <rPh sb="0" eb="4">
      <t>ジギョウホンブ</t>
    </rPh>
    <phoneticPr fontId="1"/>
  </si>
  <si>
    <t>部門コード</t>
    <rPh sb="0" eb="2">
      <t>ブモン</t>
    </rPh>
    <phoneticPr fontId="1"/>
  </si>
  <si>
    <t>業種コード</t>
    <rPh sb="0" eb="2">
      <t>ギョウシュ</t>
    </rPh>
    <phoneticPr fontId="1"/>
  </si>
  <si>
    <t>勘定科目コード</t>
    <rPh sb="0" eb="4">
      <t>カンジョウカモク</t>
    </rPh>
    <phoneticPr fontId="1"/>
  </si>
  <si>
    <t>目節コード</t>
    <rPh sb="0" eb="1">
      <t>モク</t>
    </rPh>
    <rPh sb="1" eb="2">
      <t>セツ</t>
    </rPh>
    <phoneticPr fontId="1"/>
  </si>
  <si>
    <t>相手先コード</t>
    <rPh sb="0" eb="2">
      <t>アイテ</t>
    </rPh>
    <rPh sb="2" eb="3">
      <t>サキ</t>
    </rPh>
    <phoneticPr fontId="1"/>
  </si>
  <si>
    <t>組織別検索時</t>
    <rPh sb="0" eb="2">
      <t>ソシキ</t>
    </rPh>
    <rPh sb="2" eb="3">
      <t>ベツ</t>
    </rPh>
    <rPh sb="3" eb="6">
      <t>ケンサクジ</t>
    </rPh>
    <phoneticPr fontId="1"/>
  </si>
  <si>
    <t>事業所名称</t>
    <rPh sb="3" eb="5">
      <t>メイショウ</t>
    </rPh>
    <phoneticPr fontId="2"/>
  </si>
  <si>
    <t>事業本部コード</t>
    <rPh sb="0" eb="2">
      <t>ジギョウ</t>
    </rPh>
    <rPh sb="2" eb="4">
      <t>ホンブ</t>
    </rPh>
    <phoneticPr fontId="6"/>
  </si>
  <si>
    <t>事業本部名称</t>
    <rPh sb="0" eb="2">
      <t>ジギョウ</t>
    </rPh>
    <rPh sb="2" eb="4">
      <t>ホンブ</t>
    </rPh>
    <rPh sb="4" eb="6">
      <t>メイショウ</t>
    </rPh>
    <phoneticPr fontId="6"/>
  </si>
  <si>
    <t>部門コード</t>
    <rPh sb="0" eb="2">
      <t>ブモン</t>
    </rPh>
    <phoneticPr fontId="6"/>
  </si>
  <si>
    <t>部門名称</t>
    <rPh sb="0" eb="2">
      <t>ブモン</t>
    </rPh>
    <rPh sb="2" eb="4">
      <t>メイショウ</t>
    </rPh>
    <phoneticPr fontId="6"/>
  </si>
  <si>
    <t>業種コード</t>
    <rPh sb="0" eb="2">
      <t>ギョウシュ</t>
    </rPh>
    <phoneticPr fontId="6"/>
  </si>
  <si>
    <t>2</t>
  </si>
  <si>
    <t>業種名称</t>
    <rPh sb="0" eb="2">
      <t>ギョウシュ</t>
    </rPh>
    <rPh sb="2" eb="4">
      <t>メイショウ</t>
    </rPh>
    <phoneticPr fontId="6"/>
  </si>
  <si>
    <t>6</t>
  </si>
  <si>
    <t>2025/08/29</t>
    <phoneticPr fontId="1"/>
  </si>
  <si>
    <t>統合会計システム</t>
    <phoneticPr fontId="1"/>
  </si>
  <si>
    <t>D03030101</t>
    <phoneticPr fontId="1"/>
  </si>
  <si>
    <t>Shift jis</t>
  </si>
  <si>
    <t>24058</t>
  </si>
  <si>
    <t>基幹システム再構築　会計システム外部設計</t>
  </si>
  <si>
    <t>F4110-1D</t>
    <phoneticPr fontId="1"/>
  </si>
  <si>
    <t>予算組織別</t>
    <phoneticPr fontId="1"/>
  </si>
  <si>
    <t>値は以下
・総合
・事業所計
・事業所別
・事業本部別
・部門別
・業種別
・部別
・施設別
・予算組織別</t>
    <rPh sb="48" eb="50">
      <t>ヨサン</t>
    </rPh>
    <rPh sb="50" eb="52">
      <t>ソシキ</t>
    </rPh>
    <rPh sb="52" eb="53">
      <t>ベツ</t>
    </rPh>
    <phoneticPr fontId="1"/>
  </si>
  <si>
    <t>施設別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</si>
</sst>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8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1" fillId="0" borderId="0" xfId="0" applyNumberFormat="1" applyFont="1"/>
    <xf numFmtId="0" fontId="2" fillId="0" borderId="6" xfId="0" quotePrefix="1" applyFont="1" applyBorder="1" applyAlignment="1">
      <alignment horizontal="left" vertical="center"/>
    </xf>
    <xf numFmtId="49" fontId="5" fillId="0" borderId="1" xfId="2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0" borderId="0" xfId="0" applyNumberFormat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0" xfId="0" quotePrefix="1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2" borderId="1" xfId="0" quotePrefix="1" applyFill="1" applyBorder="1"/>
    <xf numFmtId="49" fontId="0" fillId="0" borderId="1" xfId="0" applyNumberFormat="1" applyBorder="1" applyAlignment="1">
      <alignment horizontal="left" vertical="center"/>
    </xf>
    <xf numFmtId="0" fontId="0" fillId="2" borderId="24" xfId="0" applyFill="1" applyBorder="1"/>
    <xf numFmtId="0" fontId="0" fillId="2" borderId="24" xfId="0" applyFill="1" applyBorder="1" applyAlignment="1">
      <alignment horizontal="left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7" xfId="0" quotePrefix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123440</xdr:colOff>
      <xdr:row>8</xdr:row>
      <xdr:rowOff>156050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3F537B3-A1DC-487B-99E8-9B07FEA90BF8}"/>
            </a:ext>
          </a:extLst>
        </xdr:cNvPr>
        <xdr:cNvSpPr txBox="1"/>
      </xdr:nvSpPr>
      <xdr:spPr>
        <a:xfrm>
          <a:off x="914400" y="171450"/>
          <a:ext cx="7286240" cy="135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画面の出力グループで業種別を選択した場合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123440</xdr:colOff>
      <xdr:row>8</xdr:row>
      <xdr:rowOff>156050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DA44D9E-7F03-4658-BD85-B9C9BAF374DC}"/>
            </a:ext>
          </a:extLst>
        </xdr:cNvPr>
        <xdr:cNvSpPr txBox="1"/>
      </xdr:nvSpPr>
      <xdr:spPr>
        <a:xfrm>
          <a:off x="914400" y="171450"/>
          <a:ext cx="7288145" cy="135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画面の出力グループで組織別を選択した場合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1" t="s">
        <v>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242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241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6" customFormat="1" ht="9" customHeight="1"/>
    <row r="6" spans="1:62" s="20" customFormat="1" ht="15.75" customHeight="1">
      <c r="A6" s="68" t="s">
        <v>9</v>
      </c>
      <c r="B6" s="69"/>
      <c r="C6" s="69"/>
      <c r="D6" s="69"/>
      <c r="E6" s="69"/>
      <c r="F6" s="69"/>
      <c r="G6" s="70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245</v>
      </c>
      <c r="C8" s="15"/>
      <c r="D8" s="15"/>
      <c r="E8" s="15"/>
      <c r="F8" s="15"/>
      <c r="G8" s="15"/>
      <c r="H8" s="22"/>
      <c r="I8" s="20" t="s">
        <v>246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7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1" t="s">
        <v>11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247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242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241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2" customFormat="1" ht="6" customHeight="1"/>
    <row r="6" spans="1:62" s="14" customFormat="1" ht="20.25" customHeight="1">
      <c r="A6" s="141" t="s">
        <v>12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243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3"/>
      <c r="AB6" s="141" t="s">
        <v>13</v>
      </c>
      <c r="AC6" s="142"/>
      <c r="AD6" s="142"/>
      <c r="AE6" s="142"/>
      <c r="AF6" s="142"/>
      <c r="AG6" s="142"/>
      <c r="AH6" s="142"/>
      <c r="AI6" s="142"/>
      <c r="AJ6" s="143"/>
      <c r="AK6" s="141" t="s">
        <v>32</v>
      </c>
      <c r="AL6" s="142"/>
      <c r="AM6" s="142"/>
      <c r="AN6" s="143"/>
      <c r="AO6" s="141" t="s">
        <v>14</v>
      </c>
      <c r="AP6" s="142"/>
      <c r="AQ6" s="142"/>
      <c r="AR6" s="142"/>
      <c r="AS6" s="142"/>
      <c r="AT6" s="142"/>
      <c r="AU6" s="142"/>
      <c r="AV6" s="142"/>
      <c r="AW6" s="143"/>
      <c r="AX6" s="141" t="s">
        <v>33</v>
      </c>
      <c r="AY6" s="142"/>
      <c r="AZ6" s="142"/>
      <c r="BA6" s="143"/>
      <c r="BB6" s="93" t="s">
        <v>15</v>
      </c>
      <c r="BC6" s="93"/>
      <c r="BD6" s="93"/>
      <c r="BE6" s="93"/>
      <c r="BF6" s="93">
        <f>COUNTA(A35:A444)</f>
        <v>32</v>
      </c>
      <c r="BG6" s="93"/>
      <c r="BH6" s="93"/>
      <c r="BI6" s="93"/>
      <c r="BJ6" s="93"/>
    </row>
    <row r="7" spans="1:62" s="14" customFormat="1" ht="20.25" customHeight="1">
      <c r="A7" s="141" t="s">
        <v>16</v>
      </c>
      <c r="B7" s="142"/>
      <c r="C7" s="142"/>
      <c r="D7" s="142"/>
      <c r="E7" s="142"/>
      <c r="F7" s="142"/>
      <c r="G7" s="142"/>
      <c r="H7" s="142"/>
      <c r="I7" s="142"/>
      <c r="J7" s="142"/>
      <c r="K7" s="143"/>
      <c r="L7" s="141" t="s">
        <v>214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3"/>
      <c r="AK7" s="141" t="s">
        <v>34</v>
      </c>
      <c r="AL7" s="142"/>
      <c r="AM7" s="142"/>
      <c r="AN7" s="142"/>
      <c r="AO7" s="142"/>
      <c r="AP7" s="142"/>
      <c r="AQ7" s="142"/>
      <c r="AR7" s="143"/>
      <c r="AS7" s="141" t="s">
        <v>244</v>
      </c>
      <c r="AT7" s="142"/>
      <c r="AU7" s="142"/>
      <c r="AV7" s="142"/>
      <c r="AW7" s="142"/>
      <c r="AX7" s="143"/>
      <c r="AY7" s="30" t="s">
        <v>17</v>
      </c>
      <c r="AZ7" s="31"/>
      <c r="BA7" s="31"/>
      <c r="BB7" s="31"/>
      <c r="BC7" s="141" t="s">
        <v>35</v>
      </c>
      <c r="BD7" s="143"/>
      <c r="BE7" s="141" t="s">
        <v>18</v>
      </c>
      <c r="BF7" s="142"/>
      <c r="BG7" s="142"/>
      <c r="BH7" s="143"/>
      <c r="BI7" s="141"/>
      <c r="BJ7" s="143"/>
    </row>
    <row r="8" spans="1:62" s="14" customFormat="1" ht="14.4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BC8" s="46"/>
      <c r="BD8" s="46"/>
      <c r="BE8" s="46"/>
      <c r="BF8" s="46"/>
      <c r="BG8" s="46"/>
      <c r="BH8" s="46"/>
      <c r="BI8" s="46"/>
      <c r="BJ8" s="46"/>
    </row>
    <row r="9" spans="1:62" s="14" customFormat="1" ht="20.25" customHeight="1">
      <c r="A9" s="45" t="s">
        <v>219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BC9" s="46"/>
      <c r="BD9" s="46"/>
      <c r="BE9" s="46"/>
      <c r="BF9" s="46"/>
      <c r="BG9" s="46"/>
      <c r="BH9" s="46"/>
      <c r="BI9" s="46"/>
      <c r="BJ9" s="46"/>
    </row>
    <row r="10" spans="1:62" s="14" customFormat="1" ht="26.25" customHeight="1">
      <c r="A10" s="93" t="s">
        <v>20</v>
      </c>
      <c r="B10" s="93"/>
      <c r="C10" s="93"/>
      <c r="D10" s="94" t="s">
        <v>220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3" t="s">
        <v>221</v>
      </c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</row>
    <row r="11" spans="1:62" s="14" customFormat="1" ht="26.25" customHeight="1">
      <c r="A11" s="90" t="s">
        <v>222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2"/>
    </row>
    <row r="12" spans="1:62" s="14" customFormat="1" ht="26.25" customHeight="1">
      <c r="A12" s="86">
        <v>1</v>
      </c>
      <c r="B12" s="86"/>
      <c r="C12" s="86"/>
      <c r="D12" s="87" t="s">
        <v>134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6" t="s">
        <v>224</v>
      </c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</row>
    <row r="13" spans="1:62" s="14" customFormat="1" ht="26.25" customHeight="1">
      <c r="A13" s="86">
        <v>2</v>
      </c>
      <c r="B13" s="86"/>
      <c r="C13" s="86"/>
      <c r="D13" s="87" t="s">
        <v>223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6" t="s">
        <v>224</v>
      </c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</row>
    <row r="14" spans="1:62" s="14" customFormat="1" ht="26.25" customHeight="1">
      <c r="A14" s="86">
        <v>3</v>
      </c>
      <c r="B14" s="86"/>
      <c r="C14" s="86"/>
      <c r="D14" s="87" t="s">
        <v>225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6" t="s">
        <v>224</v>
      </c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</row>
    <row r="15" spans="1:62" s="14" customFormat="1" ht="26.25" customHeight="1">
      <c r="A15" s="86">
        <v>4</v>
      </c>
      <c r="B15" s="86"/>
      <c r="C15" s="86"/>
      <c r="D15" s="87" t="s">
        <v>226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6" t="s">
        <v>224</v>
      </c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</row>
    <row r="16" spans="1:62" s="14" customFormat="1" ht="26.25" customHeight="1">
      <c r="A16" s="86">
        <v>5</v>
      </c>
      <c r="B16" s="86"/>
      <c r="C16" s="86"/>
      <c r="D16" s="87" t="s">
        <v>227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6" t="s">
        <v>224</v>
      </c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</row>
    <row r="17" spans="1:62" s="14" customFormat="1" ht="26.25" customHeight="1">
      <c r="A17" s="86">
        <v>6</v>
      </c>
      <c r="B17" s="86"/>
      <c r="C17" s="86"/>
      <c r="D17" s="87" t="s">
        <v>228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6" t="s">
        <v>224</v>
      </c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</row>
    <row r="18" spans="1:62" s="14" customFormat="1" ht="26.25" customHeight="1">
      <c r="A18" s="86">
        <v>7</v>
      </c>
      <c r="B18" s="86"/>
      <c r="C18" s="86"/>
      <c r="D18" s="87" t="s">
        <v>229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6" t="s">
        <v>224</v>
      </c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</row>
    <row r="19" spans="1:62" s="14" customFormat="1" ht="26.25" customHeight="1">
      <c r="A19" s="86">
        <v>8</v>
      </c>
      <c r="B19" s="86"/>
      <c r="C19" s="86"/>
      <c r="D19" s="87" t="s">
        <v>230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6" t="s">
        <v>224</v>
      </c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</row>
    <row r="20" spans="1:62" s="14" customFormat="1" ht="26.25" customHeight="1">
      <c r="A20" s="86">
        <v>9</v>
      </c>
      <c r="B20" s="86"/>
      <c r="C20" s="86"/>
      <c r="D20" s="87" t="s">
        <v>62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6" t="s">
        <v>224</v>
      </c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</row>
    <row r="21" spans="1:62" s="14" customFormat="1" ht="26.25" customHeight="1">
      <c r="A21" s="90" t="s">
        <v>231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2"/>
    </row>
    <row r="22" spans="1:62" s="14" customFormat="1" ht="26.25" customHeight="1">
      <c r="A22" s="86">
        <v>1</v>
      </c>
      <c r="B22" s="86"/>
      <c r="C22" s="86"/>
      <c r="D22" s="87" t="s">
        <v>134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6" t="s">
        <v>224</v>
      </c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</row>
    <row r="23" spans="1:62" s="14" customFormat="1" ht="26.25" customHeight="1">
      <c r="A23" s="86">
        <v>2</v>
      </c>
      <c r="B23" s="86"/>
      <c r="C23" s="86"/>
      <c r="D23" s="87" t="s">
        <v>223</v>
      </c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6" t="s">
        <v>224</v>
      </c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</row>
    <row r="24" spans="1:62" s="14" customFormat="1" ht="26.25" customHeight="1">
      <c r="A24" s="86">
        <v>3</v>
      </c>
      <c r="B24" s="86"/>
      <c r="C24" s="86"/>
      <c r="D24" s="87" t="s">
        <v>155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6" t="s">
        <v>224</v>
      </c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</row>
    <row r="25" spans="1:62" s="14" customFormat="1" ht="26.25" customHeight="1">
      <c r="A25" s="86">
        <v>4</v>
      </c>
      <c r="B25" s="86"/>
      <c r="C25" s="86"/>
      <c r="D25" s="87" t="s">
        <v>157</v>
      </c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6" t="s">
        <v>224</v>
      </c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</row>
    <row r="26" spans="1:62" s="14" customFormat="1" ht="26.25" customHeight="1">
      <c r="A26" s="86">
        <v>5</v>
      </c>
      <c r="B26" s="86"/>
      <c r="C26" s="86"/>
      <c r="D26" s="87" t="s">
        <v>159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6" t="s">
        <v>224</v>
      </c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</row>
    <row r="27" spans="1:62" s="14" customFormat="1" ht="26.25" customHeight="1">
      <c r="A27" s="86">
        <v>6</v>
      </c>
      <c r="B27" s="86"/>
      <c r="C27" s="86"/>
      <c r="D27" s="87" t="s">
        <v>227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6" t="s">
        <v>224</v>
      </c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</row>
    <row r="28" spans="1:62" s="14" customFormat="1" ht="26.25" customHeight="1">
      <c r="A28" s="86">
        <v>7</v>
      </c>
      <c r="B28" s="86"/>
      <c r="C28" s="86"/>
      <c r="D28" s="87" t="s">
        <v>228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6" t="s">
        <v>224</v>
      </c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</row>
    <row r="29" spans="1:62" s="14" customFormat="1" ht="26.25" customHeight="1">
      <c r="A29" s="86">
        <v>8</v>
      </c>
      <c r="B29" s="86"/>
      <c r="C29" s="86"/>
      <c r="D29" s="87" t="s">
        <v>229</v>
      </c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6" t="s">
        <v>224</v>
      </c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</row>
    <row r="30" spans="1:62" s="14" customFormat="1" ht="26.25" customHeight="1">
      <c r="A30" s="86">
        <v>9</v>
      </c>
      <c r="B30" s="86"/>
      <c r="C30" s="86"/>
      <c r="D30" s="87" t="s">
        <v>230</v>
      </c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6" t="s">
        <v>224</v>
      </c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</row>
    <row r="31" spans="1:62" s="14" customFormat="1" ht="26.25" customHeight="1">
      <c r="A31" s="88">
        <v>10</v>
      </c>
      <c r="B31" s="88"/>
      <c r="C31" s="88"/>
      <c r="D31" s="89" t="s">
        <v>62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8" t="s">
        <v>224</v>
      </c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</row>
    <row r="32" spans="1:62" s="14" customFormat="1" ht="10.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BC32" s="46"/>
      <c r="BD32" s="46"/>
      <c r="BE32" s="46"/>
      <c r="BF32" s="46"/>
      <c r="BG32" s="46"/>
      <c r="BH32" s="46"/>
      <c r="BI32" s="46"/>
      <c r="BJ32" s="46"/>
    </row>
    <row r="33" spans="1:62" s="4" customFormat="1">
      <c r="B33" s="29" t="s">
        <v>19</v>
      </c>
      <c r="G33" s="5"/>
    </row>
    <row r="34" spans="1:62" s="14" customFormat="1" ht="42" customHeight="1">
      <c r="A34" s="141" t="s">
        <v>20</v>
      </c>
      <c r="B34" s="142"/>
      <c r="C34" s="143"/>
      <c r="D34" s="141" t="s">
        <v>21</v>
      </c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3"/>
      <c r="U34" s="134" t="s">
        <v>22</v>
      </c>
      <c r="V34" s="135"/>
      <c r="W34" s="135"/>
      <c r="X34" s="135"/>
      <c r="Y34" s="136"/>
      <c r="Z34" s="134" t="s">
        <v>23</v>
      </c>
      <c r="AA34" s="135"/>
      <c r="AB34" s="136"/>
      <c r="AC34" s="134" t="s">
        <v>24</v>
      </c>
      <c r="AD34" s="135"/>
      <c r="AE34" s="136"/>
      <c r="AF34" s="134" t="s">
        <v>25</v>
      </c>
      <c r="AG34" s="135"/>
      <c r="AH34" s="136"/>
      <c r="AI34" s="134" t="s">
        <v>26</v>
      </c>
      <c r="AJ34" s="135"/>
      <c r="AK34" s="136"/>
      <c r="AL34" s="134" t="s">
        <v>27</v>
      </c>
      <c r="AM34" s="135"/>
      <c r="AN34" s="136"/>
      <c r="AO34" s="134" t="s">
        <v>28</v>
      </c>
      <c r="AP34" s="135"/>
      <c r="AQ34" s="136"/>
      <c r="AR34" s="141" t="s">
        <v>29</v>
      </c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3"/>
    </row>
    <row r="35" spans="1:62" s="13" customFormat="1" ht="36" customHeight="1">
      <c r="A35" s="137">
        <v>1</v>
      </c>
      <c r="B35" s="137"/>
      <c r="C35" s="137"/>
      <c r="D35" s="144" t="s">
        <v>64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6"/>
      <c r="U35" s="147" t="s">
        <v>50</v>
      </c>
      <c r="V35" s="148"/>
      <c r="W35" s="148"/>
      <c r="X35" s="148"/>
      <c r="Y35" s="149"/>
      <c r="Z35" s="147">
        <v>8</v>
      </c>
      <c r="AA35" s="148"/>
      <c r="AB35" s="149"/>
      <c r="AC35" s="147"/>
      <c r="AD35" s="148"/>
      <c r="AE35" s="149"/>
      <c r="AF35" s="147"/>
      <c r="AG35" s="148"/>
      <c r="AH35" s="149"/>
      <c r="AI35" s="147"/>
      <c r="AJ35" s="148"/>
      <c r="AK35" s="149"/>
      <c r="AL35" s="147"/>
      <c r="AM35" s="148"/>
      <c r="AN35" s="149"/>
      <c r="AO35" s="147"/>
      <c r="AP35" s="148"/>
      <c r="AQ35" s="149"/>
      <c r="AR35" s="138" t="s">
        <v>111</v>
      </c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40"/>
    </row>
    <row r="36" spans="1:62" s="13" customFormat="1" ht="36" customHeight="1">
      <c r="A36" s="98">
        <v>2</v>
      </c>
      <c r="B36" s="98"/>
      <c r="C36" s="98"/>
      <c r="D36" s="124" t="s">
        <v>65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6"/>
      <c r="U36" s="102" t="s">
        <v>50</v>
      </c>
      <c r="V36" s="103"/>
      <c r="W36" s="103"/>
      <c r="X36" s="103"/>
      <c r="Y36" s="104"/>
      <c r="Z36" s="102">
        <v>8</v>
      </c>
      <c r="AA36" s="103"/>
      <c r="AB36" s="104"/>
      <c r="AC36" s="102"/>
      <c r="AD36" s="103"/>
      <c r="AE36" s="104"/>
      <c r="AF36" s="102"/>
      <c r="AG36" s="103"/>
      <c r="AH36" s="104"/>
      <c r="AI36" s="102"/>
      <c r="AJ36" s="103"/>
      <c r="AK36" s="104"/>
      <c r="AL36" s="102"/>
      <c r="AM36" s="103"/>
      <c r="AN36" s="104"/>
      <c r="AO36" s="102"/>
      <c r="AP36" s="103"/>
      <c r="AQ36" s="104"/>
      <c r="AR36" s="95" t="s">
        <v>112</v>
      </c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7"/>
    </row>
    <row r="37" spans="1:62" s="13" customFormat="1" ht="36" customHeight="1">
      <c r="A37" s="98">
        <v>3</v>
      </c>
      <c r="B37" s="98"/>
      <c r="C37" s="98"/>
      <c r="D37" s="124" t="s">
        <v>56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6"/>
      <c r="U37" s="102" t="s">
        <v>55</v>
      </c>
      <c r="V37" s="103"/>
      <c r="W37" s="103"/>
      <c r="X37" s="103"/>
      <c r="Y37" s="104"/>
      <c r="Z37" s="102">
        <v>6</v>
      </c>
      <c r="AA37" s="103"/>
      <c r="AB37" s="104"/>
      <c r="AC37" s="102"/>
      <c r="AD37" s="103"/>
      <c r="AE37" s="104"/>
      <c r="AF37" s="102"/>
      <c r="AG37" s="103"/>
      <c r="AH37" s="104"/>
      <c r="AI37" s="102"/>
      <c r="AJ37" s="103"/>
      <c r="AK37" s="104"/>
      <c r="AL37" s="102"/>
      <c r="AM37" s="103"/>
      <c r="AN37" s="104"/>
      <c r="AO37" s="102"/>
      <c r="AP37" s="103"/>
      <c r="AQ37" s="104"/>
      <c r="AR37" s="95" t="s">
        <v>218</v>
      </c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7"/>
    </row>
    <row r="38" spans="1:62" s="13" customFormat="1" ht="36" customHeight="1">
      <c r="A38" s="98">
        <v>4</v>
      </c>
      <c r="B38" s="98"/>
      <c r="C38" s="98"/>
      <c r="D38" s="124" t="s">
        <v>134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6"/>
      <c r="U38" s="102" t="s">
        <v>52</v>
      </c>
      <c r="V38" s="103"/>
      <c r="W38" s="103"/>
      <c r="X38" s="103"/>
      <c r="Y38" s="104"/>
      <c r="Z38" s="102">
        <v>2</v>
      </c>
      <c r="AA38" s="103"/>
      <c r="AB38" s="104"/>
      <c r="AC38" s="102"/>
      <c r="AD38" s="103"/>
      <c r="AE38" s="104"/>
      <c r="AF38" s="102"/>
      <c r="AG38" s="103"/>
      <c r="AH38" s="104"/>
      <c r="AI38" s="102"/>
      <c r="AJ38" s="103"/>
      <c r="AK38" s="104"/>
      <c r="AL38" s="102"/>
      <c r="AM38" s="103"/>
      <c r="AN38" s="104"/>
      <c r="AO38" s="102"/>
      <c r="AP38" s="103"/>
      <c r="AQ38" s="104"/>
      <c r="AR38" s="123" t="s">
        <v>135</v>
      </c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7"/>
    </row>
    <row r="39" spans="1:62" s="13" customFormat="1" ht="168.6" customHeight="1">
      <c r="A39" s="98">
        <v>5</v>
      </c>
      <c r="B39" s="98"/>
      <c r="C39" s="98"/>
      <c r="D39" s="124" t="s">
        <v>136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6"/>
      <c r="U39" s="102" t="s">
        <v>55</v>
      </c>
      <c r="V39" s="103"/>
      <c r="W39" s="103"/>
      <c r="X39" s="103"/>
      <c r="Y39" s="104"/>
      <c r="Z39" s="102">
        <v>10</v>
      </c>
      <c r="AA39" s="103"/>
      <c r="AB39" s="104"/>
      <c r="AC39" s="102"/>
      <c r="AD39" s="103"/>
      <c r="AE39" s="104"/>
      <c r="AF39" s="102"/>
      <c r="AG39" s="103"/>
      <c r="AH39" s="104"/>
      <c r="AI39" s="102"/>
      <c r="AJ39" s="103"/>
      <c r="AK39" s="104"/>
      <c r="AL39" s="102"/>
      <c r="AM39" s="103"/>
      <c r="AN39" s="104"/>
      <c r="AO39" s="102"/>
      <c r="AP39" s="103"/>
      <c r="AQ39" s="104"/>
      <c r="AR39" s="123" t="s">
        <v>249</v>
      </c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7"/>
    </row>
    <row r="40" spans="1:62" s="13" customFormat="1" ht="36" customHeight="1">
      <c r="A40" s="88">
        <v>6</v>
      </c>
      <c r="B40" s="88"/>
      <c r="C40" s="88"/>
      <c r="D40" s="117" t="s">
        <v>77</v>
      </c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9"/>
      <c r="U40" s="120" t="s">
        <v>182</v>
      </c>
      <c r="V40" s="121"/>
      <c r="W40" s="121"/>
      <c r="X40" s="121"/>
      <c r="Y40" s="122"/>
      <c r="Z40" s="120">
        <v>2</v>
      </c>
      <c r="AA40" s="121"/>
      <c r="AB40" s="122"/>
      <c r="AC40" s="120"/>
      <c r="AD40" s="121"/>
      <c r="AE40" s="122"/>
      <c r="AF40" s="120"/>
      <c r="AG40" s="121"/>
      <c r="AH40" s="122"/>
      <c r="AI40" s="120"/>
      <c r="AJ40" s="121"/>
      <c r="AK40" s="122"/>
      <c r="AL40" s="120"/>
      <c r="AM40" s="121"/>
      <c r="AN40" s="122"/>
      <c r="AO40" s="120"/>
      <c r="AP40" s="121"/>
      <c r="AQ40" s="122"/>
      <c r="AR40" s="133" t="s">
        <v>115</v>
      </c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7"/>
    </row>
    <row r="41" spans="1:62" s="13" customFormat="1" ht="36" customHeight="1">
      <c r="A41" s="86">
        <v>7</v>
      </c>
      <c r="B41" s="86"/>
      <c r="C41" s="86"/>
      <c r="D41" s="108" t="s">
        <v>232</v>
      </c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10"/>
      <c r="U41" s="111" t="s">
        <v>184</v>
      </c>
      <c r="V41" s="112"/>
      <c r="W41" s="112"/>
      <c r="X41" s="112"/>
      <c r="Y41" s="113"/>
      <c r="Z41" s="111">
        <v>15</v>
      </c>
      <c r="AA41" s="112"/>
      <c r="AB41" s="113"/>
      <c r="AC41" s="111"/>
      <c r="AD41" s="112"/>
      <c r="AE41" s="113"/>
      <c r="AF41" s="111"/>
      <c r="AG41" s="112"/>
      <c r="AH41" s="113"/>
      <c r="AI41" s="111"/>
      <c r="AJ41" s="112"/>
      <c r="AK41" s="113"/>
      <c r="AL41" s="111"/>
      <c r="AM41" s="112"/>
      <c r="AN41" s="113"/>
      <c r="AO41" s="111"/>
      <c r="AP41" s="112"/>
      <c r="AQ41" s="113"/>
      <c r="AR41" s="114" t="s">
        <v>116</v>
      </c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6"/>
    </row>
    <row r="42" spans="1:62" s="13" customFormat="1" ht="36" customHeight="1">
      <c r="A42" s="98">
        <v>8</v>
      </c>
      <c r="B42" s="98"/>
      <c r="C42" s="98"/>
      <c r="D42" s="99" t="s">
        <v>233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1"/>
      <c r="U42" s="102" t="s">
        <v>182</v>
      </c>
      <c r="V42" s="103"/>
      <c r="W42" s="103"/>
      <c r="X42" s="103"/>
      <c r="Y42" s="104"/>
      <c r="Z42" s="102">
        <v>2</v>
      </c>
      <c r="AA42" s="103"/>
      <c r="AB42" s="104"/>
      <c r="AC42" s="102"/>
      <c r="AD42" s="103"/>
      <c r="AE42" s="104"/>
      <c r="AF42" s="102"/>
      <c r="AG42" s="103"/>
      <c r="AH42" s="104"/>
      <c r="AI42" s="102"/>
      <c r="AJ42" s="103"/>
      <c r="AK42" s="104"/>
      <c r="AL42" s="102"/>
      <c r="AM42" s="103"/>
      <c r="AN42" s="104"/>
      <c r="AO42" s="102"/>
      <c r="AP42" s="103"/>
      <c r="AQ42" s="104"/>
      <c r="AR42" s="95" t="s">
        <v>117</v>
      </c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7"/>
    </row>
    <row r="43" spans="1:62" s="13" customFormat="1" ht="36" customHeight="1">
      <c r="A43" s="98">
        <v>9</v>
      </c>
      <c r="B43" s="98"/>
      <c r="C43" s="98"/>
      <c r="D43" s="99" t="s">
        <v>234</v>
      </c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1"/>
      <c r="U43" s="102" t="s">
        <v>184</v>
      </c>
      <c r="V43" s="103"/>
      <c r="W43" s="103"/>
      <c r="X43" s="103"/>
      <c r="Y43" s="104"/>
      <c r="Z43" s="102">
        <v>15</v>
      </c>
      <c r="AA43" s="103"/>
      <c r="AB43" s="104"/>
      <c r="AC43" s="102"/>
      <c r="AD43" s="103"/>
      <c r="AE43" s="104"/>
      <c r="AF43" s="102"/>
      <c r="AG43" s="103"/>
      <c r="AH43" s="104"/>
      <c r="AI43" s="102"/>
      <c r="AJ43" s="103"/>
      <c r="AK43" s="104"/>
      <c r="AL43" s="102"/>
      <c r="AM43" s="103"/>
      <c r="AN43" s="104"/>
      <c r="AO43" s="102"/>
      <c r="AP43" s="103"/>
      <c r="AQ43" s="104"/>
      <c r="AR43" s="95" t="s">
        <v>118</v>
      </c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7"/>
    </row>
    <row r="44" spans="1:62" s="13" customFormat="1" ht="36" customHeight="1">
      <c r="A44" s="98">
        <v>10</v>
      </c>
      <c r="B44" s="98"/>
      <c r="C44" s="98"/>
      <c r="D44" s="99" t="s">
        <v>235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1"/>
      <c r="U44" s="102" t="s">
        <v>182</v>
      </c>
      <c r="V44" s="103"/>
      <c r="W44" s="103"/>
      <c r="X44" s="103"/>
      <c r="Y44" s="104"/>
      <c r="Z44" s="102">
        <v>2</v>
      </c>
      <c r="AA44" s="103"/>
      <c r="AB44" s="104"/>
      <c r="AC44" s="102"/>
      <c r="AD44" s="103"/>
      <c r="AE44" s="104"/>
      <c r="AF44" s="102"/>
      <c r="AG44" s="103"/>
      <c r="AH44" s="104"/>
      <c r="AI44" s="102"/>
      <c r="AJ44" s="103"/>
      <c r="AK44" s="104"/>
      <c r="AL44" s="102"/>
      <c r="AM44" s="103"/>
      <c r="AN44" s="104"/>
      <c r="AO44" s="102"/>
      <c r="AP44" s="103"/>
      <c r="AQ44" s="104"/>
      <c r="AR44" s="95" t="s">
        <v>119</v>
      </c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7"/>
    </row>
    <row r="45" spans="1:62" s="13" customFormat="1" ht="36" customHeight="1">
      <c r="A45" s="98">
        <v>11</v>
      </c>
      <c r="B45" s="98"/>
      <c r="C45" s="98"/>
      <c r="D45" s="99" t="s">
        <v>236</v>
      </c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1"/>
      <c r="U45" s="102" t="s">
        <v>184</v>
      </c>
      <c r="V45" s="103"/>
      <c r="W45" s="103"/>
      <c r="X45" s="103"/>
      <c r="Y45" s="104"/>
      <c r="Z45" s="102">
        <v>10</v>
      </c>
      <c r="AA45" s="103"/>
      <c r="AB45" s="104"/>
      <c r="AC45" s="102"/>
      <c r="AD45" s="103"/>
      <c r="AE45" s="104"/>
      <c r="AF45" s="102"/>
      <c r="AG45" s="103"/>
      <c r="AH45" s="104"/>
      <c r="AI45" s="102"/>
      <c r="AJ45" s="103"/>
      <c r="AK45" s="104"/>
      <c r="AL45" s="102"/>
      <c r="AM45" s="103"/>
      <c r="AN45" s="104"/>
      <c r="AO45" s="102"/>
      <c r="AP45" s="103"/>
      <c r="AQ45" s="104"/>
      <c r="AR45" s="95" t="s">
        <v>120</v>
      </c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7"/>
    </row>
    <row r="46" spans="1:62" s="13" customFormat="1" ht="36" customHeight="1">
      <c r="A46" s="98">
        <v>12</v>
      </c>
      <c r="B46" s="98"/>
      <c r="C46" s="98"/>
      <c r="D46" s="99" t="s">
        <v>181</v>
      </c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1"/>
      <c r="U46" s="102" t="s">
        <v>182</v>
      </c>
      <c r="V46" s="103"/>
      <c r="W46" s="103"/>
      <c r="X46" s="103"/>
      <c r="Y46" s="104"/>
      <c r="Z46" s="102">
        <v>3</v>
      </c>
      <c r="AA46" s="103"/>
      <c r="AB46" s="104"/>
      <c r="AC46" s="102"/>
      <c r="AD46" s="103"/>
      <c r="AE46" s="104"/>
      <c r="AF46" s="102"/>
      <c r="AG46" s="103"/>
      <c r="AH46" s="104"/>
      <c r="AI46" s="102"/>
      <c r="AJ46" s="103"/>
      <c r="AK46" s="104"/>
      <c r="AL46" s="102"/>
      <c r="AM46" s="103"/>
      <c r="AN46" s="104"/>
      <c r="AO46" s="102"/>
      <c r="AP46" s="103"/>
      <c r="AQ46" s="104"/>
      <c r="AR46" s="95" t="s">
        <v>189</v>
      </c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7"/>
    </row>
    <row r="47" spans="1:62" s="13" customFormat="1" ht="36" customHeight="1">
      <c r="A47" s="98">
        <v>13</v>
      </c>
      <c r="B47" s="98"/>
      <c r="C47" s="98"/>
      <c r="D47" s="99" t="s">
        <v>183</v>
      </c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1"/>
      <c r="U47" s="102" t="s">
        <v>184</v>
      </c>
      <c r="V47" s="103"/>
      <c r="W47" s="103"/>
      <c r="X47" s="103"/>
      <c r="Y47" s="104"/>
      <c r="Z47" s="102">
        <v>15</v>
      </c>
      <c r="AA47" s="103"/>
      <c r="AB47" s="104"/>
      <c r="AC47" s="102"/>
      <c r="AD47" s="103"/>
      <c r="AE47" s="104"/>
      <c r="AF47" s="102"/>
      <c r="AG47" s="103"/>
      <c r="AH47" s="104"/>
      <c r="AI47" s="102"/>
      <c r="AJ47" s="103"/>
      <c r="AK47" s="104"/>
      <c r="AL47" s="102"/>
      <c r="AM47" s="103"/>
      <c r="AN47" s="104"/>
      <c r="AO47" s="102"/>
      <c r="AP47" s="103"/>
      <c r="AQ47" s="104"/>
      <c r="AR47" s="95" t="s">
        <v>190</v>
      </c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7"/>
    </row>
    <row r="48" spans="1:62" s="13" customFormat="1" ht="36" customHeight="1">
      <c r="A48" s="98">
        <v>14</v>
      </c>
      <c r="B48" s="98"/>
      <c r="C48" s="98"/>
      <c r="D48" s="99" t="s">
        <v>185</v>
      </c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1"/>
      <c r="U48" s="102" t="s">
        <v>182</v>
      </c>
      <c r="V48" s="103"/>
      <c r="W48" s="103"/>
      <c r="X48" s="103"/>
      <c r="Y48" s="104"/>
      <c r="Z48" s="102">
        <v>4</v>
      </c>
      <c r="AA48" s="103"/>
      <c r="AB48" s="104"/>
      <c r="AC48" s="102"/>
      <c r="AD48" s="103"/>
      <c r="AE48" s="104"/>
      <c r="AF48" s="102"/>
      <c r="AG48" s="103"/>
      <c r="AH48" s="104"/>
      <c r="AI48" s="102"/>
      <c r="AJ48" s="103"/>
      <c r="AK48" s="104"/>
      <c r="AL48" s="102"/>
      <c r="AM48" s="103"/>
      <c r="AN48" s="104"/>
      <c r="AO48" s="102"/>
      <c r="AP48" s="103"/>
      <c r="AQ48" s="104"/>
      <c r="AR48" s="95" t="s">
        <v>191</v>
      </c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7"/>
    </row>
    <row r="49" spans="1:62" s="13" customFormat="1" ht="36" customHeight="1">
      <c r="A49" s="98">
        <v>15</v>
      </c>
      <c r="B49" s="98"/>
      <c r="C49" s="98"/>
      <c r="D49" s="99" t="s">
        <v>186</v>
      </c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1"/>
      <c r="U49" s="102" t="s">
        <v>184</v>
      </c>
      <c r="V49" s="103"/>
      <c r="W49" s="103"/>
      <c r="X49" s="103"/>
      <c r="Y49" s="104"/>
      <c r="Z49" s="102">
        <v>25</v>
      </c>
      <c r="AA49" s="103"/>
      <c r="AB49" s="104"/>
      <c r="AC49" s="102"/>
      <c r="AD49" s="103"/>
      <c r="AE49" s="104"/>
      <c r="AF49" s="102"/>
      <c r="AG49" s="103"/>
      <c r="AH49" s="104"/>
      <c r="AI49" s="102"/>
      <c r="AJ49" s="103"/>
      <c r="AK49" s="104"/>
      <c r="AL49" s="102"/>
      <c r="AM49" s="103"/>
      <c r="AN49" s="104"/>
      <c r="AO49" s="102"/>
      <c r="AP49" s="103"/>
      <c r="AQ49" s="104"/>
      <c r="AR49" s="95" t="s">
        <v>192</v>
      </c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7"/>
    </row>
    <row r="50" spans="1:62" s="13" customFormat="1" ht="36" customHeight="1">
      <c r="A50" s="88">
        <v>16</v>
      </c>
      <c r="B50" s="88"/>
      <c r="C50" s="88"/>
      <c r="D50" s="117" t="s">
        <v>187</v>
      </c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9"/>
      <c r="U50" s="120" t="s">
        <v>182</v>
      </c>
      <c r="V50" s="121"/>
      <c r="W50" s="121"/>
      <c r="X50" s="121"/>
      <c r="Y50" s="122"/>
      <c r="Z50" s="120">
        <v>4</v>
      </c>
      <c r="AA50" s="121"/>
      <c r="AB50" s="122"/>
      <c r="AC50" s="120"/>
      <c r="AD50" s="121"/>
      <c r="AE50" s="122"/>
      <c r="AF50" s="120"/>
      <c r="AG50" s="121"/>
      <c r="AH50" s="122"/>
      <c r="AI50" s="120"/>
      <c r="AJ50" s="121"/>
      <c r="AK50" s="122"/>
      <c r="AL50" s="120"/>
      <c r="AM50" s="121"/>
      <c r="AN50" s="122"/>
      <c r="AO50" s="120"/>
      <c r="AP50" s="121"/>
      <c r="AQ50" s="122"/>
      <c r="AR50" s="105" t="s">
        <v>193</v>
      </c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7"/>
    </row>
    <row r="51" spans="1:62" s="13" customFormat="1" ht="36" customHeight="1">
      <c r="A51" s="86">
        <v>17</v>
      </c>
      <c r="B51" s="86"/>
      <c r="C51" s="86"/>
      <c r="D51" s="108" t="s">
        <v>188</v>
      </c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10"/>
      <c r="U51" s="111" t="s">
        <v>184</v>
      </c>
      <c r="V51" s="112"/>
      <c r="W51" s="112"/>
      <c r="X51" s="112"/>
      <c r="Y51" s="113"/>
      <c r="Z51" s="111">
        <v>15</v>
      </c>
      <c r="AA51" s="112"/>
      <c r="AB51" s="113"/>
      <c r="AC51" s="111"/>
      <c r="AD51" s="112"/>
      <c r="AE51" s="113"/>
      <c r="AF51" s="111"/>
      <c r="AG51" s="112"/>
      <c r="AH51" s="113"/>
      <c r="AI51" s="111"/>
      <c r="AJ51" s="112"/>
      <c r="AK51" s="113"/>
      <c r="AL51" s="111"/>
      <c r="AM51" s="112"/>
      <c r="AN51" s="113"/>
      <c r="AO51" s="111"/>
      <c r="AP51" s="112"/>
      <c r="AQ51" s="113"/>
      <c r="AR51" s="114" t="s">
        <v>194</v>
      </c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6"/>
    </row>
    <row r="52" spans="1:62" s="13" customFormat="1" ht="36" customHeight="1">
      <c r="A52" s="98">
        <v>18</v>
      </c>
      <c r="B52" s="98"/>
      <c r="C52" s="98"/>
      <c r="D52" s="99" t="s">
        <v>237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1"/>
      <c r="U52" s="102" t="s">
        <v>182</v>
      </c>
      <c r="V52" s="103"/>
      <c r="W52" s="103"/>
      <c r="X52" s="103"/>
      <c r="Y52" s="104"/>
      <c r="Z52" s="102" t="s">
        <v>238</v>
      </c>
      <c r="AA52" s="103"/>
      <c r="AB52" s="104"/>
      <c r="AC52" s="102"/>
      <c r="AD52" s="103"/>
      <c r="AE52" s="104"/>
      <c r="AF52" s="102"/>
      <c r="AG52" s="103"/>
      <c r="AH52" s="104"/>
      <c r="AI52" s="102"/>
      <c r="AJ52" s="103"/>
      <c r="AK52" s="104"/>
      <c r="AL52" s="102"/>
      <c r="AM52" s="103"/>
      <c r="AN52" s="104"/>
      <c r="AO52" s="102"/>
      <c r="AP52" s="103"/>
      <c r="AQ52" s="104"/>
      <c r="AR52" s="95" t="s">
        <v>121</v>
      </c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7"/>
    </row>
    <row r="53" spans="1:62" s="13" customFormat="1" ht="36" customHeight="1">
      <c r="A53" s="98">
        <v>19</v>
      </c>
      <c r="B53" s="98"/>
      <c r="C53" s="98"/>
      <c r="D53" s="99" t="s">
        <v>239</v>
      </c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1"/>
      <c r="U53" s="102" t="s">
        <v>184</v>
      </c>
      <c r="V53" s="103"/>
      <c r="W53" s="103"/>
      <c r="X53" s="103"/>
      <c r="Y53" s="104"/>
      <c r="Z53" s="102">
        <v>10</v>
      </c>
      <c r="AA53" s="103"/>
      <c r="AB53" s="104"/>
      <c r="AC53" s="102"/>
      <c r="AD53" s="103"/>
      <c r="AE53" s="104"/>
      <c r="AF53" s="102"/>
      <c r="AG53" s="103"/>
      <c r="AH53" s="104"/>
      <c r="AI53" s="102"/>
      <c r="AJ53" s="103"/>
      <c r="AK53" s="104"/>
      <c r="AL53" s="102"/>
      <c r="AM53" s="103"/>
      <c r="AN53" s="104"/>
      <c r="AO53" s="102"/>
      <c r="AP53" s="103"/>
      <c r="AQ53" s="104"/>
      <c r="AR53" s="95" t="s">
        <v>122</v>
      </c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7"/>
    </row>
    <row r="54" spans="1:62" s="13" customFormat="1" ht="36" customHeight="1">
      <c r="A54" s="98">
        <v>20</v>
      </c>
      <c r="B54" s="98"/>
      <c r="C54" s="98"/>
      <c r="D54" s="124" t="s">
        <v>53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6"/>
      <c r="U54" s="102" t="s">
        <v>182</v>
      </c>
      <c r="V54" s="103"/>
      <c r="W54" s="103"/>
      <c r="X54" s="103"/>
      <c r="Y54" s="104"/>
      <c r="Z54" s="102" t="s">
        <v>240</v>
      </c>
      <c r="AA54" s="103"/>
      <c r="AB54" s="104"/>
      <c r="AC54" s="102"/>
      <c r="AD54" s="103"/>
      <c r="AE54" s="104"/>
      <c r="AF54" s="102"/>
      <c r="AG54" s="103"/>
      <c r="AH54" s="104"/>
      <c r="AI54" s="102"/>
      <c r="AJ54" s="103"/>
      <c r="AK54" s="104"/>
      <c r="AL54" s="102"/>
      <c r="AM54" s="103"/>
      <c r="AN54" s="104"/>
      <c r="AO54" s="102"/>
      <c r="AP54" s="103"/>
      <c r="AQ54" s="104"/>
      <c r="AR54" s="95" t="s">
        <v>123</v>
      </c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7"/>
    </row>
    <row r="55" spans="1:62" s="13" customFormat="1" ht="36" customHeight="1">
      <c r="A55" s="98">
        <v>21</v>
      </c>
      <c r="B55" s="98"/>
      <c r="C55" s="98"/>
      <c r="D55" s="124" t="s">
        <v>54</v>
      </c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6"/>
      <c r="U55" s="102" t="s">
        <v>184</v>
      </c>
      <c r="V55" s="103"/>
      <c r="W55" s="103"/>
      <c r="X55" s="103"/>
      <c r="Y55" s="104"/>
      <c r="Z55" s="102">
        <v>14</v>
      </c>
      <c r="AA55" s="103"/>
      <c r="AB55" s="104"/>
      <c r="AC55" s="102"/>
      <c r="AD55" s="103"/>
      <c r="AE55" s="104"/>
      <c r="AF55" s="102"/>
      <c r="AG55" s="103"/>
      <c r="AH55" s="104"/>
      <c r="AI55" s="102"/>
      <c r="AJ55" s="103"/>
      <c r="AK55" s="104"/>
      <c r="AL55" s="102"/>
      <c r="AM55" s="103"/>
      <c r="AN55" s="104"/>
      <c r="AO55" s="102"/>
      <c r="AP55" s="103"/>
      <c r="AQ55" s="104"/>
      <c r="AR55" s="95" t="s">
        <v>124</v>
      </c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7"/>
    </row>
    <row r="56" spans="1:62" s="13" customFormat="1" ht="36" customHeight="1">
      <c r="A56" s="98">
        <v>22</v>
      </c>
      <c r="B56" s="98"/>
      <c r="C56" s="98"/>
      <c r="D56" s="124" t="s">
        <v>113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6"/>
      <c r="U56" s="102" t="s">
        <v>52</v>
      </c>
      <c r="V56" s="103"/>
      <c r="W56" s="103"/>
      <c r="X56" s="103"/>
      <c r="Y56" s="104"/>
      <c r="Z56" s="102">
        <v>2</v>
      </c>
      <c r="AA56" s="103"/>
      <c r="AB56" s="104"/>
      <c r="AC56" s="102"/>
      <c r="AD56" s="103"/>
      <c r="AE56" s="104"/>
      <c r="AF56" s="102"/>
      <c r="AG56" s="103"/>
      <c r="AH56" s="104"/>
      <c r="AI56" s="102"/>
      <c r="AJ56" s="103"/>
      <c r="AK56" s="104"/>
      <c r="AL56" s="102"/>
      <c r="AM56" s="103"/>
      <c r="AN56" s="104"/>
      <c r="AO56" s="102"/>
      <c r="AP56" s="103"/>
      <c r="AQ56" s="104"/>
      <c r="AR56" s="95" t="s">
        <v>125</v>
      </c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7"/>
    </row>
    <row r="57" spans="1:62" s="13" customFormat="1" ht="48.75" customHeight="1">
      <c r="A57" s="98">
        <v>23</v>
      </c>
      <c r="B57" s="98"/>
      <c r="C57" s="98"/>
      <c r="D57" s="124" t="s">
        <v>114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6"/>
      <c r="U57" s="102" t="s">
        <v>55</v>
      </c>
      <c r="V57" s="103"/>
      <c r="W57" s="103"/>
      <c r="X57" s="103"/>
      <c r="Y57" s="104"/>
      <c r="Z57" s="102">
        <v>14</v>
      </c>
      <c r="AA57" s="103"/>
      <c r="AB57" s="104"/>
      <c r="AC57" s="102"/>
      <c r="AD57" s="103"/>
      <c r="AE57" s="104"/>
      <c r="AF57" s="102"/>
      <c r="AG57" s="103"/>
      <c r="AH57" s="104"/>
      <c r="AI57" s="102"/>
      <c r="AJ57" s="103"/>
      <c r="AK57" s="104"/>
      <c r="AL57" s="102"/>
      <c r="AM57" s="103"/>
      <c r="AN57" s="104"/>
      <c r="AO57" s="102"/>
      <c r="AP57" s="103"/>
      <c r="AQ57" s="104"/>
      <c r="AR57" s="95" t="s">
        <v>126</v>
      </c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7"/>
    </row>
    <row r="58" spans="1:62" s="13" customFormat="1" ht="36" customHeight="1">
      <c r="A58" s="98">
        <v>24</v>
      </c>
      <c r="B58" s="98"/>
      <c r="C58" s="98"/>
      <c r="D58" s="124" t="s">
        <v>109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6"/>
      <c r="U58" s="102" t="s">
        <v>52</v>
      </c>
      <c r="V58" s="103"/>
      <c r="W58" s="103"/>
      <c r="X58" s="103"/>
      <c r="Y58" s="104"/>
      <c r="Z58" s="102">
        <v>9</v>
      </c>
      <c r="AA58" s="103"/>
      <c r="AB58" s="104"/>
      <c r="AC58" s="102"/>
      <c r="AD58" s="103"/>
      <c r="AE58" s="104"/>
      <c r="AF58" s="102"/>
      <c r="AG58" s="103"/>
      <c r="AH58" s="104"/>
      <c r="AI58" s="102"/>
      <c r="AJ58" s="103"/>
      <c r="AK58" s="104"/>
      <c r="AL58" s="102"/>
      <c r="AM58" s="103"/>
      <c r="AN58" s="104"/>
      <c r="AO58" s="102"/>
      <c r="AP58" s="103"/>
      <c r="AQ58" s="104"/>
      <c r="AR58" s="95" t="s">
        <v>127</v>
      </c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7"/>
    </row>
    <row r="59" spans="1:62" s="13" customFormat="1" ht="48.75" customHeight="1">
      <c r="A59" s="88">
        <v>25</v>
      </c>
      <c r="B59" s="88"/>
      <c r="C59" s="88"/>
      <c r="D59" s="127" t="s">
        <v>110</v>
      </c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9"/>
      <c r="U59" s="120" t="s">
        <v>55</v>
      </c>
      <c r="V59" s="121"/>
      <c r="W59" s="121"/>
      <c r="X59" s="121"/>
      <c r="Y59" s="122"/>
      <c r="Z59" s="120">
        <v>42</v>
      </c>
      <c r="AA59" s="121"/>
      <c r="AB59" s="122"/>
      <c r="AC59" s="120"/>
      <c r="AD59" s="121"/>
      <c r="AE59" s="122"/>
      <c r="AF59" s="120"/>
      <c r="AG59" s="121"/>
      <c r="AH59" s="122"/>
      <c r="AI59" s="120"/>
      <c r="AJ59" s="121"/>
      <c r="AK59" s="122"/>
      <c r="AL59" s="120"/>
      <c r="AM59" s="121"/>
      <c r="AN59" s="122"/>
      <c r="AO59" s="120"/>
      <c r="AP59" s="121"/>
      <c r="AQ59" s="122"/>
      <c r="AR59" s="105" t="s">
        <v>128</v>
      </c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7"/>
    </row>
    <row r="60" spans="1:62" s="13" customFormat="1" ht="36" customHeight="1">
      <c r="A60" s="86">
        <v>26</v>
      </c>
      <c r="B60" s="86"/>
      <c r="C60" s="86"/>
      <c r="D60" s="130" t="s">
        <v>62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2"/>
      <c r="U60" s="111" t="s">
        <v>52</v>
      </c>
      <c r="V60" s="112"/>
      <c r="W60" s="112"/>
      <c r="X60" s="112"/>
      <c r="Y60" s="113"/>
      <c r="Z60" s="111">
        <v>4</v>
      </c>
      <c r="AA60" s="112"/>
      <c r="AB60" s="113"/>
      <c r="AC60" s="111"/>
      <c r="AD60" s="112"/>
      <c r="AE60" s="113"/>
      <c r="AF60" s="111"/>
      <c r="AG60" s="112"/>
      <c r="AH60" s="113"/>
      <c r="AI60" s="111"/>
      <c r="AJ60" s="112"/>
      <c r="AK60" s="113"/>
      <c r="AL60" s="111"/>
      <c r="AM60" s="112"/>
      <c r="AN60" s="113"/>
      <c r="AO60" s="111"/>
      <c r="AP60" s="112"/>
      <c r="AQ60" s="113"/>
      <c r="AR60" s="114" t="s">
        <v>129</v>
      </c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6"/>
    </row>
    <row r="61" spans="1:62" s="13" customFormat="1" ht="63" customHeight="1">
      <c r="A61" s="98">
        <v>27</v>
      </c>
      <c r="B61" s="98"/>
      <c r="C61" s="98"/>
      <c r="D61" s="124" t="s">
        <v>63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6"/>
      <c r="U61" s="102" t="s">
        <v>55</v>
      </c>
      <c r="V61" s="103"/>
      <c r="W61" s="103"/>
      <c r="X61" s="103"/>
      <c r="Y61" s="104"/>
      <c r="Z61" s="102">
        <v>42</v>
      </c>
      <c r="AA61" s="103"/>
      <c r="AB61" s="104"/>
      <c r="AC61" s="102"/>
      <c r="AD61" s="103"/>
      <c r="AE61" s="104"/>
      <c r="AF61" s="102"/>
      <c r="AG61" s="103"/>
      <c r="AH61" s="104"/>
      <c r="AI61" s="102"/>
      <c r="AJ61" s="103"/>
      <c r="AK61" s="104"/>
      <c r="AL61" s="102"/>
      <c r="AM61" s="103"/>
      <c r="AN61" s="104"/>
      <c r="AO61" s="102"/>
      <c r="AP61" s="103"/>
      <c r="AQ61" s="104"/>
      <c r="AR61" s="95" t="s">
        <v>217</v>
      </c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7"/>
    </row>
    <row r="62" spans="1:62" s="13" customFormat="1" ht="36" customHeight="1">
      <c r="A62" s="98">
        <v>28</v>
      </c>
      <c r="B62" s="98"/>
      <c r="C62" s="98"/>
      <c r="D62" s="124" t="s">
        <v>61</v>
      </c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6"/>
      <c r="U62" s="102" t="s">
        <v>52</v>
      </c>
      <c r="V62" s="103"/>
      <c r="W62" s="103"/>
      <c r="X62" s="103"/>
      <c r="Y62" s="104"/>
      <c r="Z62" s="102">
        <v>4</v>
      </c>
      <c r="AA62" s="103"/>
      <c r="AB62" s="104"/>
      <c r="AC62" s="102"/>
      <c r="AD62" s="103"/>
      <c r="AE62" s="104"/>
      <c r="AF62" s="102"/>
      <c r="AG62" s="103"/>
      <c r="AH62" s="104"/>
      <c r="AI62" s="102"/>
      <c r="AJ62" s="103"/>
      <c r="AK62" s="104"/>
      <c r="AL62" s="102"/>
      <c r="AM62" s="103"/>
      <c r="AN62" s="104"/>
      <c r="AO62" s="102"/>
      <c r="AP62" s="103"/>
      <c r="AQ62" s="104"/>
      <c r="AR62" s="95" t="s">
        <v>130</v>
      </c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7"/>
    </row>
    <row r="63" spans="1:62" s="13" customFormat="1" ht="108" customHeight="1">
      <c r="A63" s="98">
        <v>29</v>
      </c>
      <c r="B63" s="98"/>
      <c r="C63" s="98"/>
      <c r="D63" s="124" t="s">
        <v>57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6"/>
      <c r="U63" s="102" t="s">
        <v>50</v>
      </c>
      <c r="V63" s="103"/>
      <c r="W63" s="103"/>
      <c r="X63" s="103"/>
      <c r="Y63" s="104"/>
      <c r="Z63" s="102">
        <v>14</v>
      </c>
      <c r="AA63" s="103"/>
      <c r="AB63" s="104"/>
      <c r="AC63" s="102" t="s">
        <v>35</v>
      </c>
      <c r="AD63" s="103"/>
      <c r="AE63" s="104"/>
      <c r="AF63" s="102"/>
      <c r="AG63" s="103"/>
      <c r="AH63" s="104"/>
      <c r="AI63" s="102"/>
      <c r="AJ63" s="103"/>
      <c r="AK63" s="104"/>
      <c r="AL63" s="102"/>
      <c r="AM63" s="103"/>
      <c r="AN63" s="104"/>
      <c r="AO63" s="102"/>
      <c r="AP63" s="103"/>
      <c r="AQ63" s="104"/>
      <c r="AR63" s="95" t="s">
        <v>150</v>
      </c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7"/>
    </row>
    <row r="64" spans="1:62" s="13" customFormat="1" ht="108" customHeight="1">
      <c r="A64" s="88">
        <v>30</v>
      </c>
      <c r="B64" s="88"/>
      <c r="C64" s="88"/>
      <c r="D64" s="127" t="s">
        <v>58</v>
      </c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9"/>
      <c r="U64" s="120" t="s">
        <v>50</v>
      </c>
      <c r="V64" s="121"/>
      <c r="W64" s="121"/>
      <c r="X64" s="121"/>
      <c r="Y64" s="122"/>
      <c r="Z64" s="120">
        <v>14</v>
      </c>
      <c r="AA64" s="121"/>
      <c r="AB64" s="122"/>
      <c r="AC64" s="120" t="s">
        <v>35</v>
      </c>
      <c r="AD64" s="121"/>
      <c r="AE64" s="122"/>
      <c r="AF64" s="120"/>
      <c r="AG64" s="121"/>
      <c r="AH64" s="122"/>
      <c r="AI64" s="120"/>
      <c r="AJ64" s="121"/>
      <c r="AK64" s="122"/>
      <c r="AL64" s="120"/>
      <c r="AM64" s="121"/>
      <c r="AN64" s="122"/>
      <c r="AO64" s="120"/>
      <c r="AP64" s="121"/>
      <c r="AQ64" s="122"/>
      <c r="AR64" s="105" t="s">
        <v>149</v>
      </c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7"/>
    </row>
    <row r="65" spans="1:62" s="13" customFormat="1" ht="108" customHeight="1">
      <c r="A65" s="86">
        <v>31</v>
      </c>
      <c r="B65" s="86"/>
      <c r="C65" s="86"/>
      <c r="D65" s="130" t="s">
        <v>59</v>
      </c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2"/>
      <c r="U65" s="111" t="s">
        <v>50</v>
      </c>
      <c r="V65" s="112"/>
      <c r="W65" s="112"/>
      <c r="X65" s="112"/>
      <c r="Y65" s="113"/>
      <c r="Z65" s="111">
        <v>14</v>
      </c>
      <c r="AA65" s="112"/>
      <c r="AB65" s="113"/>
      <c r="AC65" s="111" t="s">
        <v>108</v>
      </c>
      <c r="AD65" s="112"/>
      <c r="AE65" s="113"/>
      <c r="AF65" s="111"/>
      <c r="AG65" s="112"/>
      <c r="AH65" s="113"/>
      <c r="AI65" s="111"/>
      <c r="AJ65" s="112"/>
      <c r="AK65" s="113"/>
      <c r="AL65" s="111"/>
      <c r="AM65" s="112"/>
      <c r="AN65" s="113"/>
      <c r="AO65" s="111"/>
      <c r="AP65" s="112"/>
      <c r="AQ65" s="113"/>
      <c r="AR65" s="114" t="s">
        <v>151</v>
      </c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6"/>
    </row>
    <row r="66" spans="1:62" s="13" customFormat="1" ht="108" customHeight="1">
      <c r="A66" s="98">
        <v>32</v>
      </c>
      <c r="B66" s="98"/>
      <c r="C66" s="98"/>
      <c r="D66" s="124" t="s">
        <v>60</v>
      </c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6"/>
      <c r="U66" s="102" t="s">
        <v>50</v>
      </c>
      <c r="V66" s="103"/>
      <c r="W66" s="103"/>
      <c r="X66" s="103"/>
      <c r="Y66" s="104"/>
      <c r="Z66" s="102">
        <v>14</v>
      </c>
      <c r="AA66" s="103"/>
      <c r="AB66" s="104"/>
      <c r="AC66" s="102" t="s">
        <v>35</v>
      </c>
      <c r="AD66" s="103"/>
      <c r="AE66" s="104"/>
      <c r="AF66" s="102"/>
      <c r="AG66" s="103"/>
      <c r="AH66" s="104"/>
      <c r="AI66" s="102"/>
      <c r="AJ66" s="103"/>
      <c r="AK66" s="104"/>
      <c r="AL66" s="102"/>
      <c r="AM66" s="103"/>
      <c r="AN66" s="104"/>
      <c r="AO66" s="102"/>
      <c r="AP66" s="103"/>
      <c r="AQ66" s="104"/>
      <c r="AR66" s="95" t="s">
        <v>152</v>
      </c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7"/>
    </row>
    <row r="67" spans="1:62" s="13" customFormat="1" ht="36" customHeight="1">
      <c r="A67" s="86"/>
      <c r="B67" s="86"/>
      <c r="C67" s="86"/>
      <c r="D67" s="130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2"/>
      <c r="U67" s="111"/>
      <c r="V67" s="112"/>
      <c r="W67" s="112"/>
      <c r="X67" s="112"/>
      <c r="Y67" s="113"/>
      <c r="Z67" s="111"/>
      <c r="AA67" s="112"/>
      <c r="AB67" s="113"/>
      <c r="AC67" s="111"/>
      <c r="AD67" s="112"/>
      <c r="AE67" s="113"/>
      <c r="AF67" s="111"/>
      <c r="AG67" s="112"/>
      <c r="AH67" s="113"/>
      <c r="AI67" s="111"/>
      <c r="AJ67" s="112"/>
      <c r="AK67" s="113"/>
      <c r="AL67" s="111"/>
      <c r="AM67" s="112"/>
      <c r="AN67" s="113"/>
      <c r="AO67" s="111"/>
      <c r="AP67" s="112"/>
      <c r="AQ67" s="113"/>
      <c r="AR67" s="114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6"/>
    </row>
    <row r="68" spans="1:62" s="13" customFormat="1" ht="36" customHeight="1">
      <c r="A68" s="86"/>
      <c r="B68" s="86"/>
      <c r="C68" s="86"/>
      <c r="D68" s="130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2"/>
      <c r="U68" s="111"/>
      <c r="V68" s="112"/>
      <c r="W68" s="112"/>
      <c r="X68" s="112"/>
      <c r="Y68" s="113"/>
      <c r="Z68" s="111"/>
      <c r="AA68" s="112"/>
      <c r="AB68" s="113"/>
      <c r="AC68" s="111"/>
      <c r="AD68" s="112"/>
      <c r="AE68" s="113"/>
      <c r="AF68" s="111"/>
      <c r="AG68" s="112"/>
      <c r="AH68" s="113"/>
      <c r="AI68" s="111"/>
      <c r="AJ68" s="112"/>
      <c r="AK68" s="113"/>
      <c r="AL68" s="111"/>
      <c r="AM68" s="112"/>
      <c r="AN68" s="113"/>
      <c r="AO68" s="111"/>
      <c r="AP68" s="112"/>
      <c r="AQ68" s="113"/>
      <c r="AR68" s="114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6"/>
    </row>
    <row r="69" spans="1:62" s="13" customFormat="1" ht="36" customHeight="1">
      <c r="A69" s="86"/>
      <c r="B69" s="86"/>
      <c r="C69" s="86"/>
      <c r="D69" s="130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2"/>
      <c r="U69" s="111"/>
      <c r="V69" s="112"/>
      <c r="W69" s="112"/>
      <c r="X69" s="112"/>
      <c r="Y69" s="113"/>
      <c r="Z69" s="111"/>
      <c r="AA69" s="112"/>
      <c r="AB69" s="113"/>
      <c r="AC69" s="111"/>
      <c r="AD69" s="112"/>
      <c r="AE69" s="113"/>
      <c r="AF69" s="111"/>
      <c r="AG69" s="112"/>
      <c r="AH69" s="113"/>
      <c r="AI69" s="111"/>
      <c r="AJ69" s="112"/>
      <c r="AK69" s="113"/>
      <c r="AL69" s="111"/>
      <c r="AM69" s="112"/>
      <c r="AN69" s="113"/>
      <c r="AO69" s="111"/>
      <c r="AP69" s="112"/>
      <c r="AQ69" s="113"/>
      <c r="AR69" s="114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6"/>
    </row>
    <row r="70" spans="1:62" s="13" customFormat="1" ht="36" customHeight="1">
      <c r="A70" s="88"/>
      <c r="B70" s="88"/>
      <c r="C70" s="88"/>
      <c r="D70" s="127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9"/>
      <c r="U70" s="120"/>
      <c r="V70" s="121"/>
      <c r="W70" s="121"/>
      <c r="X70" s="121"/>
      <c r="Y70" s="122"/>
      <c r="Z70" s="120"/>
      <c r="AA70" s="121"/>
      <c r="AB70" s="122"/>
      <c r="AC70" s="120"/>
      <c r="AD70" s="121"/>
      <c r="AE70" s="122"/>
      <c r="AF70" s="120"/>
      <c r="AG70" s="121"/>
      <c r="AH70" s="122"/>
      <c r="AI70" s="120"/>
      <c r="AJ70" s="121"/>
      <c r="AK70" s="122"/>
      <c r="AL70" s="120"/>
      <c r="AM70" s="121"/>
      <c r="AN70" s="122"/>
      <c r="AO70" s="120"/>
      <c r="AP70" s="121"/>
      <c r="AQ70" s="122"/>
      <c r="AR70" s="105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7"/>
    </row>
    <row r="71" spans="1:62" ht="6.6" customHeight="1"/>
  </sheetData>
  <mergeCells count="458">
    <mergeCell ref="AR66:BJ66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70:BJ70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8:BJ68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D69:T69"/>
    <mergeCell ref="U69:Y69"/>
    <mergeCell ref="Z69:AB69"/>
    <mergeCell ref="AC69:AE69"/>
    <mergeCell ref="AR62:BJ62"/>
    <mergeCell ref="AR60:BJ6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F69:AH69"/>
    <mergeCell ref="AI69:AK69"/>
    <mergeCell ref="AL69:AN69"/>
    <mergeCell ref="AO69:AQ69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62:C62"/>
    <mergeCell ref="D62:T62"/>
    <mergeCell ref="U62:Y62"/>
    <mergeCell ref="Z62:AB62"/>
    <mergeCell ref="AC62:AE62"/>
    <mergeCell ref="AF62:AH62"/>
    <mergeCell ref="AI62:AK62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L62:AN62"/>
    <mergeCell ref="AO62:AQ6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Z54:AB54"/>
    <mergeCell ref="AC54:AE54"/>
    <mergeCell ref="AF54:AH54"/>
    <mergeCell ref="AI54:AK54"/>
    <mergeCell ref="AL54:AN54"/>
    <mergeCell ref="AO54:AQ5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F43:AH43"/>
    <mergeCell ref="AI43:AK43"/>
    <mergeCell ref="AL43:AN43"/>
    <mergeCell ref="AO43:AQ43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L35:AN35"/>
    <mergeCell ref="AO35:AQ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37:C37"/>
    <mergeCell ref="AR37:BJ37"/>
    <mergeCell ref="A40:C40"/>
    <mergeCell ref="AR40:BJ40"/>
    <mergeCell ref="AI34:AK34"/>
    <mergeCell ref="AL34:AN34"/>
    <mergeCell ref="AO34:AQ34"/>
    <mergeCell ref="A35:C35"/>
    <mergeCell ref="AR35:BJ35"/>
    <mergeCell ref="A36:C36"/>
    <mergeCell ref="AR36:BJ36"/>
    <mergeCell ref="A34:C34"/>
    <mergeCell ref="D34:T34"/>
    <mergeCell ref="U34:Y34"/>
    <mergeCell ref="Z34:AB34"/>
    <mergeCell ref="AC34:AE34"/>
    <mergeCell ref="AF34:AH34"/>
    <mergeCell ref="AR34:BJ34"/>
    <mergeCell ref="D35:T35"/>
    <mergeCell ref="U35:Y35"/>
    <mergeCell ref="Z35:AB35"/>
    <mergeCell ref="AC35:AE35"/>
    <mergeCell ref="AF35:AH35"/>
    <mergeCell ref="AI35:AK35"/>
    <mergeCell ref="A44:C44"/>
    <mergeCell ref="AR44:BJ44"/>
    <mergeCell ref="A45:C45"/>
    <mergeCell ref="AR45:BJ45"/>
    <mergeCell ref="A52:C52"/>
    <mergeCell ref="AR52:BJ52"/>
    <mergeCell ref="A41:C41"/>
    <mergeCell ref="AR41:BJ41"/>
    <mergeCell ref="A42:C42"/>
    <mergeCell ref="AR42:BJ42"/>
    <mergeCell ref="A43:C43"/>
    <mergeCell ref="AR43:BJ43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D43:T43"/>
    <mergeCell ref="U43:Y43"/>
    <mergeCell ref="Z43:AB43"/>
    <mergeCell ref="AC43:AE43"/>
    <mergeCell ref="A54:C54"/>
    <mergeCell ref="AR54:BJ54"/>
    <mergeCell ref="A55:C55"/>
    <mergeCell ref="AR55:BJ55"/>
    <mergeCell ref="A53:C53"/>
    <mergeCell ref="AR53:BJ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D54:T54"/>
    <mergeCell ref="U54:Y54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69:C69"/>
    <mergeCell ref="AR69:BJ69"/>
    <mergeCell ref="A63:C63"/>
    <mergeCell ref="AR63:BJ63"/>
    <mergeCell ref="A64:C64"/>
    <mergeCell ref="AR64:BJ64"/>
    <mergeCell ref="A65:C65"/>
    <mergeCell ref="AR65:BJ65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56:BJ56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8:BJ58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50:BJ50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48:BJ48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6:BJ46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10:C10"/>
    <mergeCell ref="D10:AR10"/>
    <mergeCell ref="AS10:BJ10"/>
    <mergeCell ref="A11:BJ11"/>
    <mergeCell ref="A12:C12"/>
    <mergeCell ref="D12:AR12"/>
    <mergeCell ref="AS12:BJ12"/>
    <mergeCell ref="A14:C14"/>
    <mergeCell ref="D14:AR14"/>
    <mergeCell ref="AS14:BJ14"/>
    <mergeCell ref="A13:C13"/>
    <mergeCell ref="D13:AR13"/>
    <mergeCell ref="AS13:BJ13"/>
    <mergeCell ref="A15:C15"/>
    <mergeCell ref="D15:AR15"/>
    <mergeCell ref="AS15:BJ15"/>
    <mergeCell ref="A19:C19"/>
    <mergeCell ref="D19:AR19"/>
    <mergeCell ref="AS19:BJ19"/>
    <mergeCell ref="A20:C20"/>
    <mergeCell ref="D20:AR20"/>
    <mergeCell ref="AS20:BJ20"/>
    <mergeCell ref="A16:C16"/>
    <mergeCell ref="D16:AR16"/>
    <mergeCell ref="AS16:BJ16"/>
    <mergeCell ref="A17:C17"/>
    <mergeCell ref="D17:AR17"/>
    <mergeCell ref="AS17:BJ17"/>
    <mergeCell ref="A18:C18"/>
    <mergeCell ref="D18:AR18"/>
    <mergeCell ref="AS18:BJ18"/>
    <mergeCell ref="A21:BJ21"/>
    <mergeCell ref="A22:C22"/>
    <mergeCell ref="D22:AR22"/>
    <mergeCell ref="AS22:BJ22"/>
    <mergeCell ref="A24:C24"/>
    <mergeCell ref="D24:AR24"/>
    <mergeCell ref="AS24:BJ24"/>
    <mergeCell ref="A25:C25"/>
    <mergeCell ref="D25:AR25"/>
    <mergeCell ref="AS25:BJ25"/>
    <mergeCell ref="A23:C23"/>
    <mergeCell ref="D23:AR23"/>
    <mergeCell ref="AS23:BJ23"/>
    <mergeCell ref="A26:C26"/>
    <mergeCell ref="D26:AR26"/>
    <mergeCell ref="AS26:BJ26"/>
    <mergeCell ref="A30:C30"/>
    <mergeCell ref="D30:AR30"/>
    <mergeCell ref="AS30:BJ30"/>
    <mergeCell ref="A31:C31"/>
    <mergeCell ref="D31:AR31"/>
    <mergeCell ref="AS31:BJ31"/>
    <mergeCell ref="A28:C28"/>
    <mergeCell ref="D28:AR28"/>
    <mergeCell ref="AS28:BJ28"/>
    <mergeCell ref="A27:C27"/>
    <mergeCell ref="D27:AR27"/>
    <mergeCell ref="AS27:BJ27"/>
    <mergeCell ref="A29:C29"/>
    <mergeCell ref="D29:AR29"/>
    <mergeCell ref="AS29:BJ29"/>
  </mergeCells>
  <phoneticPr fontId="1"/>
  <dataValidations count="5">
    <dataValidation type="list" allowBlank="1" showInputMessage="1" showErrorMessage="1" sqref="BI32 BC7:BC9 BI7:BI9 BC32 AL35:AQ70 AC35:AH7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32:AX32 AT9:AX9 AS9:AS10" xr:uid="{4496B9E6-A81C-44F9-B626-03435E0E09FA}">
      <formula1>"utf-8,Shift jis"</formula1>
    </dataValidation>
    <dataValidation type="list" allowBlank="1" showInputMessage="1" sqref="AS12:BJ20 AS22:BJ31" xr:uid="{7968931F-01B9-406D-B8A6-903CD8EA565B}">
      <formula1>"昇順, 降順"</formula1>
    </dataValidation>
    <dataValidation type="list" allowBlank="1" showInputMessage="1" showErrorMessage="1" sqref="AI35:AK70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5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1" t="s">
        <v>30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31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242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241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2" customFormat="1" ht="6" customHeight="1"/>
    <row r="6" spans="1:62" s="14" customFormat="1" ht="20.25" customHeight="1">
      <c r="A6" s="141" t="s">
        <v>12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243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3"/>
      <c r="AB6" s="141" t="s">
        <v>13</v>
      </c>
      <c r="AC6" s="142"/>
      <c r="AD6" s="142"/>
      <c r="AE6" s="142"/>
      <c r="AF6" s="142"/>
      <c r="AG6" s="142"/>
      <c r="AH6" s="142"/>
      <c r="AI6" s="142"/>
      <c r="AJ6" s="143"/>
      <c r="AK6" s="141" t="s">
        <v>32</v>
      </c>
      <c r="AL6" s="142"/>
      <c r="AM6" s="142"/>
      <c r="AN6" s="143"/>
      <c r="AO6" s="141" t="s">
        <v>14</v>
      </c>
      <c r="AP6" s="142"/>
      <c r="AQ6" s="142"/>
      <c r="AR6" s="142"/>
      <c r="AS6" s="142"/>
      <c r="AT6" s="142"/>
      <c r="AU6" s="142"/>
      <c r="AV6" s="142"/>
      <c r="AW6" s="143"/>
      <c r="AX6" s="141" t="s">
        <v>33</v>
      </c>
      <c r="AY6" s="142"/>
      <c r="AZ6" s="142"/>
      <c r="BA6" s="143"/>
      <c r="BB6" s="141" t="s">
        <v>15</v>
      </c>
      <c r="BC6" s="142"/>
      <c r="BD6" s="142"/>
      <c r="BE6" s="143"/>
      <c r="BF6" s="141">
        <f>COUNTA(A10:A431)</f>
        <v>32</v>
      </c>
      <c r="BG6" s="142"/>
      <c r="BH6" s="142"/>
      <c r="BI6" s="142"/>
      <c r="BJ6" s="143"/>
    </row>
    <row r="7" spans="1:62" s="14" customFormat="1" ht="20.25" customHeight="1">
      <c r="A7" s="141" t="s">
        <v>16</v>
      </c>
      <c r="B7" s="142"/>
      <c r="C7" s="142"/>
      <c r="D7" s="142"/>
      <c r="E7" s="142"/>
      <c r="F7" s="142"/>
      <c r="G7" s="142"/>
      <c r="H7" s="142"/>
      <c r="I7" s="142"/>
      <c r="J7" s="142"/>
      <c r="K7" s="143"/>
      <c r="L7" s="141" t="s">
        <v>214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3"/>
      <c r="AK7" s="141" t="s">
        <v>34</v>
      </c>
      <c r="AL7" s="142"/>
      <c r="AM7" s="142"/>
      <c r="AN7" s="142"/>
      <c r="AO7" s="142"/>
      <c r="AP7" s="142"/>
      <c r="AQ7" s="142"/>
      <c r="AR7" s="143"/>
      <c r="AS7" s="141" t="s">
        <v>244</v>
      </c>
      <c r="AT7" s="142"/>
      <c r="AU7" s="142"/>
      <c r="AV7" s="142"/>
      <c r="AW7" s="142"/>
      <c r="AX7" s="143"/>
      <c r="AY7" s="30" t="s">
        <v>17</v>
      </c>
      <c r="AZ7" s="31"/>
      <c r="BA7" s="31"/>
      <c r="BB7" s="31"/>
      <c r="BC7" s="141" t="s">
        <v>35</v>
      </c>
      <c r="BD7" s="143"/>
      <c r="BE7" s="141" t="s">
        <v>18</v>
      </c>
      <c r="BF7" s="142"/>
      <c r="BG7" s="142"/>
      <c r="BH7" s="143"/>
      <c r="BI7" s="141"/>
      <c r="BJ7" s="143"/>
    </row>
    <row r="8" spans="1:62" s="4" customFormat="1">
      <c r="B8" s="29" t="s">
        <v>19</v>
      </c>
      <c r="G8" s="5"/>
    </row>
    <row r="9" spans="1:62" s="14" customFormat="1" ht="42" customHeight="1">
      <c r="A9" s="141" t="s">
        <v>20</v>
      </c>
      <c r="B9" s="142"/>
      <c r="C9" s="143"/>
      <c r="D9" s="141" t="s">
        <v>36</v>
      </c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3"/>
      <c r="U9" s="134" t="s">
        <v>22</v>
      </c>
      <c r="V9" s="135"/>
      <c r="W9" s="135"/>
      <c r="X9" s="135"/>
      <c r="Y9" s="136"/>
      <c r="Z9" s="134" t="s">
        <v>23</v>
      </c>
      <c r="AA9" s="135"/>
      <c r="AB9" s="136"/>
      <c r="AC9" s="141" t="s">
        <v>37</v>
      </c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3"/>
    </row>
    <row r="10" spans="1:62" s="13" customFormat="1" ht="58.2" customHeight="1">
      <c r="A10" s="137">
        <v>1</v>
      </c>
      <c r="B10" s="137"/>
      <c r="C10" s="137"/>
      <c r="D10" s="144" t="s">
        <v>64</v>
      </c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6"/>
      <c r="U10" s="147" t="s">
        <v>50</v>
      </c>
      <c r="V10" s="148"/>
      <c r="W10" s="148"/>
      <c r="X10" s="148"/>
      <c r="Y10" s="149"/>
      <c r="Z10" s="147">
        <v>8</v>
      </c>
      <c r="AA10" s="148"/>
      <c r="AB10" s="149"/>
      <c r="AC10" s="43" t="s">
        <v>201</v>
      </c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6"/>
    </row>
    <row r="11" spans="1:62" s="13" customFormat="1" ht="40.5" customHeight="1">
      <c r="A11" s="98">
        <v>2</v>
      </c>
      <c r="B11" s="98"/>
      <c r="C11" s="98"/>
      <c r="D11" s="124" t="s">
        <v>65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6"/>
      <c r="U11" s="102" t="s">
        <v>50</v>
      </c>
      <c r="V11" s="103"/>
      <c r="W11" s="103"/>
      <c r="X11" s="103"/>
      <c r="Y11" s="104"/>
      <c r="Z11" s="102">
        <v>8</v>
      </c>
      <c r="AA11" s="103"/>
      <c r="AB11" s="104"/>
      <c r="AC11" s="40" t="s">
        <v>202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9"/>
    </row>
    <row r="12" spans="1:62" s="13" customFormat="1" ht="40.5" customHeight="1">
      <c r="A12" s="98">
        <v>3</v>
      </c>
      <c r="B12" s="98"/>
      <c r="C12" s="98"/>
      <c r="D12" s="124" t="s">
        <v>56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6"/>
      <c r="U12" s="102" t="s">
        <v>55</v>
      </c>
      <c r="V12" s="103"/>
      <c r="W12" s="103"/>
      <c r="X12" s="103"/>
      <c r="Y12" s="104"/>
      <c r="Z12" s="102">
        <v>6</v>
      </c>
      <c r="AA12" s="103"/>
      <c r="AB12" s="104"/>
      <c r="AC12" s="37" t="s">
        <v>66</v>
      </c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9"/>
    </row>
    <row r="13" spans="1:62" s="13" customFormat="1" ht="40.5" customHeight="1">
      <c r="A13" s="98">
        <v>4</v>
      </c>
      <c r="B13" s="98"/>
      <c r="C13" s="98"/>
      <c r="D13" s="124" t="s">
        <v>134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6"/>
      <c r="U13" s="102" t="s">
        <v>52</v>
      </c>
      <c r="V13" s="103"/>
      <c r="W13" s="103"/>
      <c r="X13" s="103"/>
      <c r="Y13" s="104"/>
      <c r="Z13" s="102">
        <v>2</v>
      </c>
      <c r="AA13" s="103"/>
      <c r="AB13" s="104"/>
      <c r="AC13" s="40" t="s">
        <v>71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9"/>
    </row>
    <row r="14" spans="1:62" s="13" customFormat="1" ht="40.5" customHeight="1">
      <c r="A14" s="98">
        <v>5</v>
      </c>
      <c r="B14" s="98"/>
      <c r="C14" s="98"/>
      <c r="D14" s="124" t="s">
        <v>136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6"/>
      <c r="U14" s="102" t="s">
        <v>55</v>
      </c>
      <c r="V14" s="103"/>
      <c r="W14" s="103"/>
      <c r="X14" s="103"/>
      <c r="Y14" s="104"/>
      <c r="Z14" s="102">
        <v>10</v>
      </c>
      <c r="AA14" s="103"/>
      <c r="AB14" s="104"/>
      <c r="AC14" s="37" t="s">
        <v>137</v>
      </c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9"/>
    </row>
    <row r="15" spans="1:62" s="13" customFormat="1" ht="40.5" customHeight="1">
      <c r="A15" s="98">
        <v>6</v>
      </c>
      <c r="B15" s="98"/>
      <c r="C15" s="98"/>
      <c r="D15" s="99" t="s">
        <v>77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1"/>
      <c r="U15" s="102" t="s">
        <v>182</v>
      </c>
      <c r="V15" s="103"/>
      <c r="W15" s="103"/>
      <c r="X15" s="103"/>
      <c r="Y15" s="104"/>
      <c r="Z15" s="102">
        <v>2</v>
      </c>
      <c r="AA15" s="103"/>
      <c r="AB15" s="104"/>
      <c r="AC15" s="40" t="s">
        <v>203</v>
      </c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9"/>
    </row>
    <row r="16" spans="1:62" s="13" customFormat="1" ht="40.5" customHeight="1">
      <c r="A16" s="98">
        <v>7</v>
      </c>
      <c r="B16" s="98"/>
      <c r="C16" s="98"/>
      <c r="D16" s="99" t="s">
        <v>232</v>
      </c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1"/>
      <c r="U16" s="102" t="s">
        <v>184</v>
      </c>
      <c r="V16" s="103"/>
      <c r="W16" s="103"/>
      <c r="X16" s="103"/>
      <c r="Y16" s="104"/>
      <c r="Z16" s="102">
        <v>15</v>
      </c>
      <c r="AA16" s="103"/>
      <c r="AB16" s="104"/>
      <c r="AC16" s="37" t="s">
        <v>67</v>
      </c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9"/>
    </row>
    <row r="17" spans="1:62" s="13" customFormat="1" ht="40.5" customHeight="1">
      <c r="A17" s="98">
        <v>8</v>
      </c>
      <c r="B17" s="98"/>
      <c r="C17" s="98"/>
      <c r="D17" s="99" t="s">
        <v>233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1"/>
      <c r="U17" s="102" t="s">
        <v>182</v>
      </c>
      <c r="V17" s="103"/>
      <c r="W17" s="103"/>
      <c r="X17" s="103"/>
      <c r="Y17" s="104"/>
      <c r="Z17" s="102">
        <v>2</v>
      </c>
      <c r="AA17" s="103"/>
      <c r="AB17" s="104"/>
      <c r="AC17" s="40" t="s">
        <v>204</v>
      </c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9"/>
    </row>
    <row r="18" spans="1:62" s="13" customFormat="1" ht="40.5" customHeight="1">
      <c r="A18" s="98">
        <v>9</v>
      </c>
      <c r="B18" s="98"/>
      <c r="C18" s="98"/>
      <c r="D18" s="99" t="s">
        <v>234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1"/>
      <c r="U18" s="102" t="s">
        <v>184</v>
      </c>
      <c r="V18" s="103"/>
      <c r="W18" s="103"/>
      <c r="X18" s="103"/>
      <c r="Y18" s="104"/>
      <c r="Z18" s="102">
        <v>15</v>
      </c>
      <c r="AA18" s="103"/>
      <c r="AB18" s="104"/>
      <c r="AC18" s="37" t="s">
        <v>68</v>
      </c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9"/>
    </row>
    <row r="19" spans="1:62" s="13" customFormat="1" ht="40.5" customHeight="1">
      <c r="A19" s="98">
        <v>10</v>
      </c>
      <c r="B19" s="98"/>
      <c r="C19" s="98"/>
      <c r="D19" s="99" t="s">
        <v>235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2" t="s">
        <v>182</v>
      </c>
      <c r="V19" s="103"/>
      <c r="W19" s="103"/>
      <c r="X19" s="103"/>
      <c r="Y19" s="104"/>
      <c r="Z19" s="102">
        <v>2</v>
      </c>
      <c r="AA19" s="103"/>
      <c r="AB19" s="104"/>
      <c r="AC19" s="40" t="s">
        <v>205</v>
      </c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9"/>
    </row>
    <row r="20" spans="1:62" s="13" customFormat="1" ht="40.5" customHeight="1">
      <c r="A20" s="98">
        <v>11</v>
      </c>
      <c r="B20" s="98"/>
      <c r="C20" s="98"/>
      <c r="D20" s="99" t="s">
        <v>236</v>
      </c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/>
      <c r="U20" s="102" t="s">
        <v>184</v>
      </c>
      <c r="V20" s="103"/>
      <c r="W20" s="103"/>
      <c r="X20" s="103"/>
      <c r="Y20" s="104"/>
      <c r="Z20" s="102">
        <v>10</v>
      </c>
      <c r="AA20" s="103"/>
      <c r="AB20" s="104"/>
      <c r="AC20" s="37" t="s">
        <v>69</v>
      </c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9"/>
    </row>
    <row r="21" spans="1:62" s="13" customFormat="1" ht="40.5" customHeight="1">
      <c r="A21" s="98">
        <v>12</v>
      </c>
      <c r="B21" s="98"/>
      <c r="C21" s="98"/>
      <c r="D21" s="99" t="s">
        <v>181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1"/>
      <c r="U21" s="102" t="s">
        <v>182</v>
      </c>
      <c r="V21" s="103"/>
      <c r="W21" s="103"/>
      <c r="X21" s="103"/>
      <c r="Y21" s="104"/>
      <c r="Z21" s="102">
        <v>3</v>
      </c>
      <c r="AA21" s="103"/>
      <c r="AB21" s="104"/>
      <c r="AC21" s="33" t="s">
        <v>195</v>
      </c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9"/>
    </row>
    <row r="22" spans="1:62" s="13" customFormat="1" ht="40.5" customHeight="1">
      <c r="A22" s="98">
        <v>13</v>
      </c>
      <c r="B22" s="98"/>
      <c r="C22" s="98"/>
      <c r="D22" s="99" t="s">
        <v>183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102" t="s">
        <v>184</v>
      </c>
      <c r="V22" s="103"/>
      <c r="W22" s="103"/>
      <c r="X22" s="103"/>
      <c r="Y22" s="104"/>
      <c r="Z22" s="102">
        <v>15</v>
      </c>
      <c r="AA22" s="103"/>
      <c r="AB22" s="104"/>
      <c r="AC22" s="33" t="s">
        <v>196</v>
      </c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9"/>
    </row>
    <row r="23" spans="1:62" s="13" customFormat="1" ht="40.5" customHeight="1">
      <c r="A23" s="98">
        <v>14</v>
      </c>
      <c r="B23" s="98"/>
      <c r="C23" s="98"/>
      <c r="D23" s="99" t="s">
        <v>185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1"/>
      <c r="U23" s="102" t="s">
        <v>182</v>
      </c>
      <c r="V23" s="103"/>
      <c r="W23" s="103"/>
      <c r="X23" s="103"/>
      <c r="Y23" s="104"/>
      <c r="Z23" s="102">
        <v>4</v>
      </c>
      <c r="AA23" s="103"/>
      <c r="AB23" s="104"/>
      <c r="AC23" s="33" t="s">
        <v>197</v>
      </c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9"/>
    </row>
    <row r="24" spans="1:62" s="13" customFormat="1" ht="40.5" customHeight="1">
      <c r="A24" s="98">
        <v>15</v>
      </c>
      <c r="B24" s="98"/>
      <c r="C24" s="98"/>
      <c r="D24" s="99" t="s">
        <v>186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  <c r="U24" s="102" t="s">
        <v>184</v>
      </c>
      <c r="V24" s="103"/>
      <c r="W24" s="103"/>
      <c r="X24" s="103"/>
      <c r="Y24" s="104"/>
      <c r="Z24" s="102">
        <v>25</v>
      </c>
      <c r="AA24" s="103"/>
      <c r="AB24" s="104"/>
      <c r="AC24" s="33" t="s">
        <v>198</v>
      </c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9"/>
    </row>
    <row r="25" spans="1:62" s="13" customFormat="1" ht="40.5" customHeight="1">
      <c r="A25" s="98">
        <v>16</v>
      </c>
      <c r="B25" s="98"/>
      <c r="C25" s="98"/>
      <c r="D25" s="99" t="s">
        <v>187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1"/>
      <c r="U25" s="102" t="s">
        <v>182</v>
      </c>
      <c r="V25" s="103"/>
      <c r="W25" s="103"/>
      <c r="X25" s="103"/>
      <c r="Y25" s="104"/>
      <c r="Z25" s="102">
        <v>4</v>
      </c>
      <c r="AA25" s="103"/>
      <c r="AB25" s="104"/>
      <c r="AC25" s="33" t="s">
        <v>199</v>
      </c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9"/>
    </row>
    <row r="26" spans="1:62" s="13" customFormat="1" ht="40.5" customHeight="1">
      <c r="A26" s="98">
        <v>17</v>
      </c>
      <c r="B26" s="98"/>
      <c r="C26" s="98"/>
      <c r="D26" s="99" t="s">
        <v>188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02" t="s">
        <v>184</v>
      </c>
      <c r="V26" s="103"/>
      <c r="W26" s="103"/>
      <c r="X26" s="103"/>
      <c r="Y26" s="104"/>
      <c r="Z26" s="102">
        <v>15</v>
      </c>
      <c r="AA26" s="103"/>
      <c r="AB26" s="104"/>
      <c r="AC26" s="33" t="s">
        <v>200</v>
      </c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9"/>
    </row>
    <row r="27" spans="1:62" s="13" customFormat="1" ht="40.5" customHeight="1">
      <c r="A27" s="98">
        <v>18</v>
      </c>
      <c r="B27" s="98"/>
      <c r="C27" s="98"/>
      <c r="D27" s="99" t="s">
        <v>237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1"/>
      <c r="U27" s="102" t="s">
        <v>182</v>
      </c>
      <c r="V27" s="103"/>
      <c r="W27" s="103"/>
      <c r="X27" s="103"/>
      <c r="Y27" s="104"/>
      <c r="Z27" s="102" t="s">
        <v>238</v>
      </c>
      <c r="AA27" s="103"/>
      <c r="AB27" s="104"/>
      <c r="AC27" s="33" t="s">
        <v>71</v>
      </c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9"/>
    </row>
    <row r="28" spans="1:62" s="13" customFormat="1" ht="40.5" customHeight="1">
      <c r="A28" s="98">
        <v>19</v>
      </c>
      <c r="B28" s="98"/>
      <c r="C28" s="98"/>
      <c r="D28" s="99" t="s">
        <v>239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1"/>
      <c r="U28" s="102" t="s">
        <v>184</v>
      </c>
      <c r="V28" s="103"/>
      <c r="W28" s="103"/>
      <c r="X28" s="103"/>
      <c r="Y28" s="104"/>
      <c r="Z28" s="102">
        <v>10</v>
      </c>
      <c r="AA28" s="103"/>
      <c r="AB28" s="104"/>
      <c r="AC28" s="33" t="s">
        <v>206</v>
      </c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9"/>
    </row>
    <row r="29" spans="1:62" s="13" customFormat="1" ht="40.5" customHeight="1">
      <c r="A29" s="98">
        <v>20</v>
      </c>
      <c r="B29" s="98"/>
      <c r="C29" s="98"/>
      <c r="D29" s="124" t="s">
        <v>53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6"/>
      <c r="U29" s="102" t="s">
        <v>182</v>
      </c>
      <c r="V29" s="103"/>
      <c r="W29" s="103"/>
      <c r="X29" s="103"/>
      <c r="Y29" s="104"/>
      <c r="Z29" s="102" t="s">
        <v>240</v>
      </c>
      <c r="AA29" s="103"/>
      <c r="AB29" s="104"/>
      <c r="AC29" s="40" t="s">
        <v>207</v>
      </c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9"/>
    </row>
    <row r="30" spans="1:62" s="13" customFormat="1" ht="40.5" customHeight="1">
      <c r="A30" s="98">
        <v>21</v>
      </c>
      <c r="B30" s="98"/>
      <c r="C30" s="98"/>
      <c r="D30" s="124" t="s">
        <v>54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6"/>
      <c r="U30" s="102" t="s">
        <v>184</v>
      </c>
      <c r="V30" s="103"/>
      <c r="W30" s="103"/>
      <c r="X30" s="103"/>
      <c r="Y30" s="104"/>
      <c r="Z30" s="102">
        <v>14</v>
      </c>
      <c r="AA30" s="103"/>
      <c r="AB30" s="104"/>
      <c r="AC30" s="37" t="s">
        <v>70</v>
      </c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9"/>
    </row>
    <row r="31" spans="1:62" s="13" customFormat="1" ht="40.5" customHeight="1">
      <c r="A31" s="98">
        <v>22</v>
      </c>
      <c r="B31" s="98"/>
      <c r="C31" s="98"/>
      <c r="D31" s="124" t="s">
        <v>113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6"/>
      <c r="U31" s="102" t="s">
        <v>52</v>
      </c>
      <c r="V31" s="103"/>
      <c r="W31" s="103"/>
      <c r="X31" s="103"/>
      <c r="Y31" s="104"/>
      <c r="Z31" s="102">
        <v>2</v>
      </c>
      <c r="AA31" s="103"/>
      <c r="AB31" s="104"/>
      <c r="AC31" s="40" t="s">
        <v>71</v>
      </c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9"/>
    </row>
    <row r="32" spans="1:62" s="13" customFormat="1" ht="40.5" customHeight="1">
      <c r="A32" s="98">
        <v>23</v>
      </c>
      <c r="B32" s="98"/>
      <c r="C32" s="98"/>
      <c r="D32" s="124" t="s">
        <v>114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6"/>
      <c r="U32" s="102" t="s">
        <v>55</v>
      </c>
      <c r="V32" s="103"/>
      <c r="W32" s="103"/>
      <c r="X32" s="103"/>
      <c r="Y32" s="104"/>
      <c r="Z32" s="102">
        <v>14</v>
      </c>
      <c r="AA32" s="103"/>
      <c r="AB32" s="104"/>
      <c r="AC32" s="37" t="s">
        <v>72</v>
      </c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9"/>
    </row>
    <row r="33" spans="1:62" s="13" customFormat="1" ht="40.5" customHeight="1">
      <c r="A33" s="88">
        <v>24</v>
      </c>
      <c r="B33" s="88"/>
      <c r="C33" s="88"/>
      <c r="D33" s="127" t="s">
        <v>109</v>
      </c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9"/>
      <c r="U33" s="120" t="s">
        <v>52</v>
      </c>
      <c r="V33" s="121"/>
      <c r="W33" s="121"/>
      <c r="X33" s="121"/>
      <c r="Y33" s="122"/>
      <c r="Z33" s="120">
        <v>9</v>
      </c>
      <c r="AA33" s="121"/>
      <c r="AB33" s="122"/>
      <c r="AC33" s="44" t="s">
        <v>132</v>
      </c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2"/>
    </row>
    <row r="34" spans="1:62" s="13" customFormat="1" ht="40.5" customHeight="1">
      <c r="A34" s="86">
        <v>25</v>
      </c>
      <c r="B34" s="86"/>
      <c r="C34" s="86"/>
      <c r="D34" s="130" t="s">
        <v>110</v>
      </c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2"/>
      <c r="U34" s="111" t="s">
        <v>55</v>
      </c>
      <c r="V34" s="112"/>
      <c r="W34" s="112"/>
      <c r="X34" s="112"/>
      <c r="Y34" s="113"/>
      <c r="Z34" s="111">
        <v>42</v>
      </c>
      <c r="AA34" s="112"/>
      <c r="AB34" s="113"/>
      <c r="AC34" s="61" t="s">
        <v>133</v>
      </c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3"/>
    </row>
    <row r="35" spans="1:62" s="13" customFormat="1" ht="40.5" customHeight="1">
      <c r="A35" s="98">
        <v>26</v>
      </c>
      <c r="B35" s="98"/>
      <c r="C35" s="98"/>
      <c r="D35" s="124" t="s">
        <v>62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6"/>
      <c r="U35" s="102" t="s">
        <v>52</v>
      </c>
      <c r="V35" s="103"/>
      <c r="W35" s="103"/>
      <c r="X35" s="103"/>
      <c r="Y35" s="104"/>
      <c r="Z35" s="102">
        <v>4</v>
      </c>
      <c r="AA35" s="103"/>
      <c r="AB35" s="104"/>
      <c r="AC35" s="40" t="s">
        <v>208</v>
      </c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9"/>
    </row>
    <row r="36" spans="1:62" s="13" customFormat="1" ht="40.5" customHeight="1">
      <c r="A36" s="98">
        <v>27</v>
      </c>
      <c r="B36" s="98"/>
      <c r="C36" s="98"/>
      <c r="D36" s="124" t="s">
        <v>63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6"/>
      <c r="U36" s="102" t="s">
        <v>55</v>
      </c>
      <c r="V36" s="103"/>
      <c r="W36" s="103"/>
      <c r="X36" s="103"/>
      <c r="Y36" s="104"/>
      <c r="Z36" s="102">
        <v>42</v>
      </c>
      <c r="AA36" s="103"/>
      <c r="AB36" s="104"/>
      <c r="AC36" s="37" t="s">
        <v>73</v>
      </c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9"/>
    </row>
    <row r="37" spans="1:62" s="13" customFormat="1" ht="40.5" customHeight="1">
      <c r="A37" s="98">
        <v>28</v>
      </c>
      <c r="B37" s="98"/>
      <c r="C37" s="98"/>
      <c r="D37" s="124" t="s">
        <v>61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6"/>
      <c r="U37" s="102" t="s">
        <v>52</v>
      </c>
      <c r="V37" s="103"/>
      <c r="W37" s="103"/>
      <c r="X37" s="103"/>
      <c r="Y37" s="104"/>
      <c r="Z37" s="102">
        <v>4</v>
      </c>
      <c r="AA37" s="103"/>
      <c r="AB37" s="104"/>
      <c r="AC37" s="40" t="s">
        <v>209</v>
      </c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9"/>
    </row>
    <row r="38" spans="1:62" s="13" customFormat="1" ht="40.5" customHeight="1">
      <c r="A38" s="98">
        <v>29</v>
      </c>
      <c r="B38" s="98"/>
      <c r="C38" s="98"/>
      <c r="D38" s="124" t="s">
        <v>57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6"/>
      <c r="U38" s="102" t="s">
        <v>50</v>
      </c>
      <c r="V38" s="103"/>
      <c r="W38" s="103"/>
      <c r="X38" s="103"/>
      <c r="Y38" s="104"/>
      <c r="Z38" s="102">
        <v>14</v>
      </c>
      <c r="AA38" s="103"/>
      <c r="AB38" s="104"/>
      <c r="AC38" s="40" t="s">
        <v>210</v>
      </c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9"/>
    </row>
    <row r="39" spans="1:62" s="13" customFormat="1" ht="40.5" customHeight="1">
      <c r="A39" s="98">
        <v>30</v>
      </c>
      <c r="B39" s="98"/>
      <c r="C39" s="98"/>
      <c r="D39" s="124" t="s">
        <v>58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6"/>
      <c r="U39" s="102" t="s">
        <v>50</v>
      </c>
      <c r="V39" s="103"/>
      <c r="W39" s="103"/>
      <c r="X39" s="103"/>
      <c r="Y39" s="104"/>
      <c r="Z39" s="102">
        <v>14</v>
      </c>
      <c r="AA39" s="103"/>
      <c r="AB39" s="104"/>
      <c r="AC39" s="40" t="s">
        <v>211</v>
      </c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9"/>
    </row>
    <row r="40" spans="1:62" s="13" customFormat="1" ht="40.5" customHeight="1">
      <c r="A40" s="98">
        <v>31</v>
      </c>
      <c r="B40" s="98"/>
      <c r="C40" s="98"/>
      <c r="D40" s="124" t="s">
        <v>59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6"/>
      <c r="U40" s="102" t="s">
        <v>50</v>
      </c>
      <c r="V40" s="103"/>
      <c r="W40" s="103"/>
      <c r="X40" s="103"/>
      <c r="Y40" s="104"/>
      <c r="Z40" s="102">
        <v>14</v>
      </c>
      <c r="AA40" s="103"/>
      <c r="AB40" s="104"/>
      <c r="AC40" s="40" t="s">
        <v>212</v>
      </c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9"/>
    </row>
    <row r="41" spans="1:62" s="13" customFormat="1" ht="40.5" customHeight="1">
      <c r="A41" s="98">
        <v>32</v>
      </c>
      <c r="B41" s="98"/>
      <c r="C41" s="98"/>
      <c r="D41" s="124" t="s">
        <v>60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6"/>
      <c r="U41" s="102" t="s">
        <v>50</v>
      </c>
      <c r="V41" s="103"/>
      <c r="W41" s="103"/>
      <c r="X41" s="103"/>
      <c r="Y41" s="104"/>
      <c r="Z41" s="102">
        <v>14</v>
      </c>
      <c r="AA41" s="103"/>
      <c r="AB41" s="104"/>
      <c r="AC41" s="40" t="s">
        <v>213</v>
      </c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9"/>
    </row>
    <row r="42" spans="1:62" s="13" customFormat="1" ht="40.5" customHeight="1">
      <c r="A42" s="86"/>
      <c r="B42" s="86"/>
      <c r="C42" s="86"/>
      <c r="D42" s="130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2"/>
      <c r="U42" s="111"/>
      <c r="V42" s="112"/>
      <c r="W42" s="112"/>
      <c r="X42" s="112"/>
      <c r="Y42" s="113"/>
      <c r="Z42" s="111"/>
      <c r="AA42" s="112"/>
      <c r="AB42" s="113"/>
      <c r="AC42" s="64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9"/>
    </row>
    <row r="43" spans="1:62" s="13" customFormat="1" ht="40.5" customHeight="1">
      <c r="A43" s="98"/>
      <c r="B43" s="98"/>
      <c r="C43" s="98"/>
      <c r="D43" s="124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6"/>
      <c r="U43" s="102"/>
      <c r="V43" s="103"/>
      <c r="W43" s="103"/>
      <c r="X43" s="103"/>
      <c r="Y43" s="104"/>
      <c r="Z43" s="102"/>
      <c r="AA43" s="103"/>
      <c r="AB43" s="104"/>
      <c r="AC43" s="40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9"/>
    </row>
    <row r="44" spans="1:62" s="13" customFormat="1" ht="40.5" customHeight="1">
      <c r="A44" s="98"/>
      <c r="B44" s="98"/>
      <c r="C44" s="98"/>
      <c r="D44" s="124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6"/>
      <c r="U44" s="102"/>
      <c r="V44" s="103"/>
      <c r="W44" s="103"/>
      <c r="X44" s="103"/>
      <c r="Y44" s="104"/>
      <c r="Z44" s="102"/>
      <c r="AA44" s="103"/>
      <c r="AB44" s="104"/>
      <c r="AC44" s="40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9"/>
    </row>
    <row r="45" spans="1:62" s="13" customFormat="1" ht="40.5" customHeight="1">
      <c r="A45" s="86"/>
      <c r="B45" s="86"/>
      <c r="C45" s="86"/>
      <c r="D45" s="130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2"/>
      <c r="U45" s="111"/>
      <c r="V45" s="112"/>
      <c r="W45" s="112"/>
      <c r="X45" s="112"/>
      <c r="Y45" s="113"/>
      <c r="Z45" s="111"/>
      <c r="AA45" s="112"/>
      <c r="AB45" s="113"/>
      <c r="AC45" s="64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9"/>
    </row>
    <row r="46" spans="1:62" s="13" customFormat="1" ht="40.5" customHeight="1">
      <c r="A46" s="86"/>
      <c r="B46" s="86"/>
      <c r="C46" s="86"/>
      <c r="D46" s="130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2"/>
      <c r="U46" s="111"/>
      <c r="V46" s="112"/>
      <c r="W46" s="112"/>
      <c r="X46" s="112"/>
      <c r="Y46" s="113"/>
      <c r="Z46" s="111"/>
      <c r="AA46" s="112"/>
      <c r="AB46" s="113"/>
      <c r="AC46" s="64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9"/>
    </row>
    <row r="47" spans="1:62" s="13" customFormat="1" ht="40.5" customHeight="1">
      <c r="A47" s="98"/>
      <c r="B47" s="98"/>
      <c r="C47" s="98"/>
      <c r="D47" s="124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6"/>
      <c r="U47" s="102"/>
      <c r="V47" s="103"/>
      <c r="W47" s="103"/>
      <c r="X47" s="103"/>
      <c r="Y47" s="104"/>
      <c r="Z47" s="102"/>
      <c r="AA47" s="103"/>
      <c r="AB47" s="104"/>
      <c r="AC47" s="40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9"/>
    </row>
    <row r="48" spans="1:62" s="13" customFormat="1" ht="40.5" customHeight="1">
      <c r="A48" s="98"/>
      <c r="B48" s="98"/>
      <c r="C48" s="98"/>
      <c r="D48" s="124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6"/>
      <c r="U48" s="102"/>
      <c r="V48" s="103"/>
      <c r="W48" s="103"/>
      <c r="X48" s="103"/>
      <c r="Y48" s="104"/>
      <c r="Z48" s="102"/>
      <c r="AA48" s="103"/>
      <c r="AB48" s="104"/>
      <c r="AC48" s="40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9"/>
    </row>
    <row r="49" spans="1:62" s="13" customFormat="1" ht="40.5" customHeight="1">
      <c r="A49" s="86"/>
      <c r="B49" s="86"/>
      <c r="C49" s="86"/>
      <c r="D49" s="130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2"/>
      <c r="U49" s="111"/>
      <c r="V49" s="112"/>
      <c r="W49" s="112"/>
      <c r="X49" s="112"/>
      <c r="Y49" s="113"/>
      <c r="Z49" s="111"/>
      <c r="AA49" s="112"/>
      <c r="AB49" s="113"/>
      <c r="AC49" s="64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9"/>
    </row>
    <row r="50" spans="1:62" s="13" customFormat="1" ht="40.5" customHeight="1">
      <c r="A50" s="98"/>
      <c r="B50" s="98"/>
      <c r="C50" s="98"/>
      <c r="D50" s="124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6"/>
      <c r="U50" s="102"/>
      <c r="V50" s="103"/>
      <c r="W50" s="103"/>
      <c r="X50" s="103"/>
      <c r="Y50" s="104"/>
      <c r="Z50" s="102"/>
      <c r="AA50" s="103"/>
      <c r="AB50" s="104"/>
      <c r="AC50" s="40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9"/>
    </row>
    <row r="51" spans="1:62" s="13" customFormat="1" ht="40.5" customHeight="1">
      <c r="A51" s="98"/>
      <c r="B51" s="98"/>
      <c r="C51" s="98"/>
      <c r="D51" s="124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6"/>
      <c r="U51" s="102"/>
      <c r="V51" s="103"/>
      <c r="W51" s="103"/>
      <c r="X51" s="103"/>
      <c r="Y51" s="104"/>
      <c r="Z51" s="102"/>
      <c r="AA51" s="103"/>
      <c r="AB51" s="104"/>
      <c r="AC51" s="40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9"/>
    </row>
    <row r="52" spans="1:62" s="13" customFormat="1" ht="40.5" customHeight="1">
      <c r="A52" s="86"/>
      <c r="B52" s="86"/>
      <c r="C52" s="86"/>
      <c r="D52" s="130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2"/>
      <c r="U52" s="111"/>
      <c r="V52" s="112"/>
      <c r="W52" s="112"/>
      <c r="X52" s="112"/>
      <c r="Y52" s="113"/>
      <c r="Z52" s="111"/>
      <c r="AA52" s="112"/>
      <c r="AB52" s="113"/>
      <c r="AC52" s="64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9"/>
    </row>
    <row r="53" spans="1:62" s="13" customFormat="1" ht="40.5" customHeight="1">
      <c r="A53" s="98"/>
      <c r="B53" s="98"/>
      <c r="C53" s="98"/>
      <c r="D53" s="124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6"/>
      <c r="U53" s="102"/>
      <c r="V53" s="103"/>
      <c r="W53" s="103"/>
      <c r="X53" s="103"/>
      <c r="Y53" s="104"/>
      <c r="Z53" s="102"/>
      <c r="AA53" s="103"/>
      <c r="AB53" s="104"/>
      <c r="AC53" s="40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9"/>
    </row>
    <row r="54" spans="1:62" s="13" customFormat="1" ht="40.5" customHeight="1">
      <c r="A54" s="98"/>
      <c r="B54" s="98"/>
      <c r="C54" s="98"/>
      <c r="D54" s="124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6"/>
      <c r="U54" s="102"/>
      <c r="V54" s="103"/>
      <c r="W54" s="103"/>
      <c r="X54" s="103"/>
      <c r="Y54" s="104"/>
      <c r="Z54" s="102"/>
      <c r="AA54" s="103"/>
      <c r="AB54" s="104"/>
      <c r="AC54" s="40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9"/>
    </row>
    <row r="55" spans="1:62" s="13" customFormat="1" ht="40.5" customHeight="1">
      <c r="A55" s="86"/>
      <c r="B55" s="86"/>
      <c r="C55" s="86"/>
      <c r="D55" s="130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2"/>
      <c r="U55" s="111"/>
      <c r="V55" s="112"/>
      <c r="W55" s="112"/>
      <c r="X55" s="112"/>
      <c r="Y55" s="113"/>
      <c r="Z55" s="111"/>
      <c r="AA55" s="112"/>
      <c r="AB55" s="113"/>
      <c r="AC55" s="64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9"/>
    </row>
    <row r="56" spans="1:62" s="13" customFormat="1" ht="40.5" customHeight="1">
      <c r="A56" s="98"/>
      <c r="B56" s="98"/>
      <c r="C56" s="98"/>
      <c r="D56" s="124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6"/>
      <c r="U56" s="102"/>
      <c r="V56" s="103"/>
      <c r="W56" s="103"/>
      <c r="X56" s="103"/>
      <c r="Y56" s="104"/>
      <c r="Z56" s="102"/>
      <c r="AA56" s="103"/>
      <c r="AB56" s="104"/>
      <c r="AC56" s="40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9"/>
    </row>
    <row r="57" spans="1:62" s="13" customFormat="1" ht="40.5" customHeight="1">
      <c r="A57" s="88"/>
      <c r="B57" s="88"/>
      <c r="C57" s="88"/>
      <c r="D57" s="127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9"/>
      <c r="U57" s="120"/>
      <c r="V57" s="121"/>
      <c r="W57" s="121"/>
      <c r="X57" s="121"/>
      <c r="Y57" s="122"/>
      <c r="Z57" s="120"/>
      <c r="AA57" s="121"/>
      <c r="AB57" s="122"/>
      <c r="AC57" s="44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2"/>
    </row>
    <row r="58" spans="1:62" ht="6.6" customHeight="1"/>
  </sheetData>
  <mergeCells count="223">
    <mergeCell ref="A45:C45"/>
    <mergeCell ref="D45:T45"/>
    <mergeCell ref="U45:Y45"/>
    <mergeCell ref="Z45:AB45"/>
    <mergeCell ref="A42:C42"/>
    <mergeCell ref="D42:T42"/>
    <mergeCell ref="U42:Y42"/>
    <mergeCell ref="Z42:AB42"/>
    <mergeCell ref="A43:C43"/>
    <mergeCell ref="D43:T43"/>
    <mergeCell ref="U43:Y43"/>
    <mergeCell ref="Z43:AB43"/>
    <mergeCell ref="A44:C44"/>
    <mergeCell ref="D44:T44"/>
    <mergeCell ref="U44:Y44"/>
    <mergeCell ref="Z44:AB44"/>
    <mergeCell ref="A49:C49"/>
    <mergeCell ref="D49:T49"/>
    <mergeCell ref="U49:Y49"/>
    <mergeCell ref="Z49:AB49"/>
    <mergeCell ref="A50:C50"/>
    <mergeCell ref="D50:T50"/>
    <mergeCell ref="U50:Y50"/>
    <mergeCell ref="Z50:AB50"/>
    <mergeCell ref="A51:C51"/>
    <mergeCell ref="D51:T51"/>
    <mergeCell ref="U51:Y51"/>
    <mergeCell ref="Z51:AB51"/>
    <mergeCell ref="A46:C46"/>
    <mergeCell ref="D46:T46"/>
    <mergeCell ref="U46:Y46"/>
    <mergeCell ref="Z46:AB46"/>
    <mergeCell ref="A47:C47"/>
    <mergeCell ref="D47:T47"/>
    <mergeCell ref="U47:Y47"/>
    <mergeCell ref="Z47:AB47"/>
    <mergeCell ref="A48:C48"/>
    <mergeCell ref="D48:T48"/>
    <mergeCell ref="U48:Y48"/>
    <mergeCell ref="Z48:AB48"/>
    <mergeCell ref="A52:C52"/>
    <mergeCell ref="D52:T52"/>
    <mergeCell ref="U52:Y52"/>
    <mergeCell ref="Z52:AB52"/>
    <mergeCell ref="A53:C53"/>
    <mergeCell ref="D53:T53"/>
    <mergeCell ref="U53:Y53"/>
    <mergeCell ref="Z53:AB53"/>
    <mergeCell ref="A54:C54"/>
    <mergeCell ref="D54:T54"/>
    <mergeCell ref="U54:Y54"/>
    <mergeCell ref="Z54:AB54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D15:T15"/>
    <mergeCell ref="D16:T16"/>
    <mergeCell ref="A16:C16"/>
    <mergeCell ref="U16:Y16"/>
    <mergeCell ref="Z16:AB16"/>
    <mergeCell ref="A11:C11"/>
    <mergeCell ref="U11:Y11"/>
    <mergeCell ref="Z11:AB11"/>
    <mergeCell ref="A12:C12"/>
    <mergeCell ref="U12:Y12"/>
    <mergeCell ref="Z12:AB12"/>
    <mergeCell ref="A15:C15"/>
    <mergeCell ref="U15:Y15"/>
    <mergeCell ref="Z15:AB15"/>
    <mergeCell ref="A13:C13"/>
    <mergeCell ref="D13:T13"/>
    <mergeCell ref="U13:Y13"/>
    <mergeCell ref="Z13:AB13"/>
    <mergeCell ref="A14:C14"/>
    <mergeCell ref="D14:T14"/>
    <mergeCell ref="U14:Y14"/>
    <mergeCell ref="Z14:AB14"/>
    <mergeCell ref="A10:C10"/>
    <mergeCell ref="U10:Y10"/>
    <mergeCell ref="Z10:AB10"/>
    <mergeCell ref="D10:T10"/>
    <mergeCell ref="D11:T11"/>
    <mergeCell ref="D12:T12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D20:T20"/>
    <mergeCell ref="D27:T27"/>
    <mergeCell ref="A17:C17"/>
    <mergeCell ref="U17:Y17"/>
    <mergeCell ref="Z17:AB17"/>
    <mergeCell ref="A28:C28"/>
    <mergeCell ref="U28:Y28"/>
    <mergeCell ref="Z28:AB28"/>
    <mergeCell ref="D28:T28"/>
    <mergeCell ref="A20:C20"/>
    <mergeCell ref="U20:Y20"/>
    <mergeCell ref="Z20:AB20"/>
    <mergeCell ref="A27:C27"/>
    <mergeCell ref="U27:Y27"/>
    <mergeCell ref="Z27:AB27"/>
    <mergeCell ref="D17:T17"/>
    <mergeCell ref="D18:T18"/>
    <mergeCell ref="D19:T19"/>
    <mergeCell ref="A18:C18"/>
    <mergeCell ref="U18:Y18"/>
    <mergeCell ref="Z18:AB18"/>
    <mergeCell ref="A19:C19"/>
    <mergeCell ref="U19:Y19"/>
    <mergeCell ref="Z19:AB19"/>
    <mergeCell ref="A31:C31"/>
    <mergeCell ref="U31:Y31"/>
    <mergeCell ref="Z31:AB31"/>
    <mergeCell ref="A32:C32"/>
    <mergeCell ref="U32:Y32"/>
    <mergeCell ref="Z32:AB32"/>
    <mergeCell ref="A29:C29"/>
    <mergeCell ref="U29:Y29"/>
    <mergeCell ref="Z29:AB29"/>
    <mergeCell ref="A30:C30"/>
    <mergeCell ref="U30:Y30"/>
    <mergeCell ref="Z30:AB30"/>
    <mergeCell ref="D29:T29"/>
    <mergeCell ref="D30:T30"/>
    <mergeCell ref="D31:T31"/>
    <mergeCell ref="D32:T32"/>
    <mergeCell ref="A33:C33"/>
    <mergeCell ref="U33:Y33"/>
    <mergeCell ref="Z33:AB33"/>
    <mergeCell ref="A34:C34"/>
    <mergeCell ref="U34:Y34"/>
    <mergeCell ref="Z34:AB34"/>
    <mergeCell ref="D33:T33"/>
    <mergeCell ref="D34:T34"/>
    <mergeCell ref="D35:T35"/>
    <mergeCell ref="D39:T39"/>
    <mergeCell ref="D57:T57"/>
    <mergeCell ref="A57:C57"/>
    <mergeCell ref="U57:Y57"/>
    <mergeCell ref="Z57:AB57"/>
    <mergeCell ref="A39:C39"/>
    <mergeCell ref="U39:Y39"/>
    <mergeCell ref="Z39:AB39"/>
    <mergeCell ref="A40:C40"/>
    <mergeCell ref="U40:Y40"/>
    <mergeCell ref="Z40:AB40"/>
    <mergeCell ref="D40:T40"/>
    <mergeCell ref="A41:C41"/>
    <mergeCell ref="D41:T41"/>
    <mergeCell ref="U41:Y41"/>
    <mergeCell ref="Z41:AB41"/>
    <mergeCell ref="A55:C55"/>
    <mergeCell ref="D55:T55"/>
    <mergeCell ref="U55:Y55"/>
    <mergeCell ref="Z55:AB55"/>
    <mergeCell ref="A56:C56"/>
    <mergeCell ref="D56:T56"/>
    <mergeCell ref="U56:Y56"/>
    <mergeCell ref="Z56:AB56"/>
    <mergeCell ref="A37:C37"/>
    <mergeCell ref="U37:Y37"/>
    <mergeCell ref="Z37:AB37"/>
    <mergeCell ref="A38:C38"/>
    <mergeCell ref="U38:Y38"/>
    <mergeCell ref="Z38:AB38"/>
    <mergeCell ref="D37:T37"/>
    <mergeCell ref="D38:T38"/>
    <mergeCell ref="A35:C35"/>
    <mergeCell ref="U35:Y35"/>
    <mergeCell ref="Z35:AB35"/>
    <mergeCell ref="A36:C36"/>
    <mergeCell ref="U36:Y36"/>
    <mergeCell ref="Z36:AB36"/>
    <mergeCell ref="D36:T36"/>
    <mergeCell ref="A24:C24"/>
    <mergeCell ref="D24:T24"/>
    <mergeCell ref="U24:Y24"/>
    <mergeCell ref="Z24:AB24"/>
    <mergeCell ref="A25:C25"/>
    <mergeCell ref="D25:T25"/>
    <mergeCell ref="U25:Y25"/>
    <mergeCell ref="Z25:AB25"/>
    <mergeCell ref="A26:C26"/>
    <mergeCell ref="D26:T26"/>
    <mergeCell ref="U26:Y26"/>
    <mergeCell ref="Z26:AB26"/>
    <mergeCell ref="A21:C21"/>
    <mergeCell ref="D21:T21"/>
    <mergeCell ref="U21:Y21"/>
    <mergeCell ref="Z21:AB21"/>
    <mergeCell ref="A22:C22"/>
    <mergeCell ref="D22:T22"/>
    <mergeCell ref="U22:Y22"/>
    <mergeCell ref="Z22:AB22"/>
    <mergeCell ref="A23:C23"/>
    <mergeCell ref="D23:T23"/>
    <mergeCell ref="U23:Y23"/>
    <mergeCell ref="Z23:AB23"/>
  </mergeCells>
  <phoneticPr fontId="1"/>
  <dataValidations count="3">
    <dataValidation type="list" allowBlank="1" showInputMessage="1" showErrorMessage="1" sqref="AK6 AX6" xr:uid="{70187361-67A6-423E-8CC8-8BE4335BA082}">
      <formula1>"あり,なし"</formula1>
    </dataValidation>
    <dataValidation type="list" allowBlank="1" showInputMessage="1" showErrorMessage="1" sqref="BI7 BC7" xr:uid="{7C265838-B727-4ACA-8785-2A932A4D9D3E}">
      <formula1>"〇"</formula1>
    </dataValidation>
    <dataValidation type="list" allowBlank="1" showInputMessage="1" sqref="AS7:AX7" xr:uid="{F55E28F5-3705-4C33-911D-C955F209EF77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4EFC-BBE2-4111-9EB3-C7EA8551043A}">
  <sheetPr codeName="Sheet4">
    <pageSetUpPr fitToPage="1"/>
  </sheetPr>
  <dimension ref="A10:AF94"/>
  <sheetViews>
    <sheetView view="pageBreakPreview" zoomScaleNormal="85" zoomScaleSheetLayoutView="100" workbookViewId="0"/>
  </sheetViews>
  <sheetFormatPr defaultColWidth="9" defaultRowHeight="13.2"/>
  <cols>
    <col min="1" max="1" width="13.33203125" style="47" bestFit="1" customWidth="1"/>
    <col min="2" max="2" width="11.21875" style="47" bestFit="1" customWidth="1"/>
    <col min="3" max="3" width="5.21875" style="47" bestFit="1" customWidth="1"/>
    <col min="4" max="4" width="11.88671875" style="47" bestFit="1" customWidth="1"/>
    <col min="5" max="5" width="13.88671875" style="47" bestFit="1" customWidth="1"/>
    <col min="6" max="6" width="11.88671875" style="47" bestFit="1" customWidth="1"/>
    <col min="7" max="7" width="11" style="47" bestFit="1" customWidth="1"/>
    <col min="8" max="8" width="14" style="47" bestFit="1" customWidth="1"/>
    <col min="9" max="9" width="13" style="47" bestFit="1" customWidth="1"/>
    <col min="10" max="10" width="9.88671875" style="47" bestFit="1" customWidth="1"/>
    <col min="11" max="11" width="9" style="47"/>
    <col min="12" max="12" width="9.88671875" style="47" bestFit="1" customWidth="1"/>
    <col min="13" max="13" width="9" style="47"/>
    <col min="14" max="14" width="9.88671875" style="47" bestFit="1" customWidth="1"/>
    <col min="15" max="15" width="9" style="47"/>
    <col min="16" max="16" width="9.88671875" style="47" bestFit="1" customWidth="1"/>
    <col min="17" max="17" width="9" style="47"/>
    <col min="18" max="18" width="9.88671875" style="47" bestFit="1" customWidth="1"/>
    <col min="19" max="19" width="9" style="47"/>
    <col min="20" max="20" width="14" style="47" bestFit="1" customWidth="1"/>
    <col min="21" max="21" width="13" style="47" bestFit="1" customWidth="1"/>
    <col min="22" max="22" width="14.88671875" style="47" bestFit="1" customWidth="1"/>
    <col min="23" max="23" width="13.88671875" style="47" bestFit="1" customWidth="1"/>
    <col min="24" max="24" width="14" style="47" bestFit="1" customWidth="1"/>
    <col min="25" max="25" width="17.88671875" style="47" bestFit="1" customWidth="1"/>
    <col min="26" max="26" width="14" style="47" bestFit="1" customWidth="1"/>
    <col min="27" max="27" width="17.88671875" style="47" bestFit="1" customWidth="1"/>
    <col min="28" max="28" width="5.21875" style="47" bestFit="1" customWidth="1"/>
    <col min="29" max="32" width="13.88671875" style="47" customWidth="1"/>
    <col min="33" max="16384" width="9" style="47"/>
  </cols>
  <sheetData>
    <row r="10" spans="1:32">
      <c r="A10" s="32" t="s">
        <v>106</v>
      </c>
    </row>
    <row r="11" spans="1:32" ht="26.4">
      <c r="A11" s="48" t="s">
        <v>74</v>
      </c>
      <c r="B11" s="48" t="s">
        <v>75</v>
      </c>
      <c r="C11" s="48" t="s">
        <v>76</v>
      </c>
      <c r="D11" s="48" t="s">
        <v>138</v>
      </c>
      <c r="E11" s="48" t="s">
        <v>139</v>
      </c>
      <c r="F11" s="48" t="s">
        <v>77</v>
      </c>
      <c r="G11" s="48" t="s">
        <v>78</v>
      </c>
      <c r="H11" s="48" t="s">
        <v>79</v>
      </c>
      <c r="I11" s="48" t="s">
        <v>80</v>
      </c>
      <c r="J11" s="48" t="s">
        <v>81</v>
      </c>
      <c r="K11" s="48" t="s">
        <v>82</v>
      </c>
      <c r="L11" s="34" t="s">
        <v>155</v>
      </c>
      <c r="M11" s="34" t="s">
        <v>156</v>
      </c>
      <c r="N11" s="34" t="s">
        <v>157</v>
      </c>
      <c r="O11" s="34" t="s">
        <v>158</v>
      </c>
      <c r="P11" s="34" t="s">
        <v>159</v>
      </c>
      <c r="Q11" s="34" t="s">
        <v>160</v>
      </c>
      <c r="R11" s="48" t="s">
        <v>83</v>
      </c>
      <c r="S11" s="48" t="s">
        <v>84</v>
      </c>
      <c r="T11" s="48" t="s">
        <v>85</v>
      </c>
      <c r="U11" s="48" t="s">
        <v>86</v>
      </c>
      <c r="V11" s="48" t="s">
        <v>113</v>
      </c>
      <c r="W11" s="48" t="s">
        <v>131</v>
      </c>
      <c r="X11" s="48" t="s">
        <v>109</v>
      </c>
      <c r="Y11" s="48" t="s">
        <v>110</v>
      </c>
      <c r="Z11" s="48" t="s">
        <v>87</v>
      </c>
      <c r="AA11" s="48" t="s">
        <v>88</v>
      </c>
      <c r="AB11" s="48" t="s">
        <v>89</v>
      </c>
      <c r="AC11" s="48" t="s">
        <v>90</v>
      </c>
      <c r="AD11" s="48" t="s">
        <v>91</v>
      </c>
      <c r="AE11" s="48" t="s">
        <v>92</v>
      </c>
      <c r="AF11" s="48" t="s">
        <v>93</v>
      </c>
    </row>
    <row r="12" spans="1:32" s="51" customFormat="1">
      <c r="A12" s="49">
        <v>20230401</v>
      </c>
      <c r="B12" s="49">
        <v>20231130</v>
      </c>
      <c r="C12" s="49" t="s">
        <v>94</v>
      </c>
      <c r="D12" s="49" t="s">
        <v>71</v>
      </c>
      <c r="E12" s="49" t="s">
        <v>137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>
        <v>110501</v>
      </c>
      <c r="U12" s="49" t="s">
        <v>154</v>
      </c>
      <c r="V12" s="49" t="s">
        <v>96</v>
      </c>
      <c r="W12" s="49"/>
      <c r="X12" s="49"/>
      <c r="Y12" s="49"/>
      <c r="Z12" s="50"/>
      <c r="AA12" s="49"/>
      <c r="AB12" s="49"/>
      <c r="AC12" s="49">
        <v>20000000</v>
      </c>
      <c r="AD12" s="49">
        <v>8000000</v>
      </c>
      <c r="AE12" s="49">
        <v>7000000</v>
      </c>
      <c r="AF12" s="49">
        <f>AD12-AE12+AC12</f>
        <v>21000000</v>
      </c>
    </row>
    <row r="13" spans="1:32" s="51" customFormat="1">
      <c r="A13" s="52">
        <v>20230401</v>
      </c>
      <c r="B13" s="52">
        <v>20231130</v>
      </c>
      <c r="C13" s="52" t="s">
        <v>94</v>
      </c>
      <c r="D13" s="52" t="s">
        <v>97</v>
      </c>
      <c r="E13" s="52" t="s">
        <v>137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>
        <v>110501</v>
      </c>
      <c r="U13" s="52" t="s">
        <v>154</v>
      </c>
      <c r="V13" s="52" t="s">
        <v>96</v>
      </c>
      <c r="W13" s="52"/>
      <c r="X13" s="52" t="s">
        <v>132</v>
      </c>
      <c r="Y13" s="52" t="s">
        <v>133</v>
      </c>
      <c r="Z13" s="53"/>
      <c r="AA13" s="52"/>
      <c r="AB13" s="52"/>
      <c r="AC13" s="52">
        <v>30000000</v>
      </c>
      <c r="AD13" s="52">
        <v>7000000</v>
      </c>
      <c r="AE13" s="52">
        <v>6000000</v>
      </c>
      <c r="AF13" s="52">
        <f t="shared" ref="AF13" si="0">AD13-AE13+AC13</f>
        <v>31000000</v>
      </c>
    </row>
    <row r="14" spans="1:32" s="51" customFormat="1">
      <c r="A14" s="49">
        <v>20230401</v>
      </c>
      <c r="B14" s="49">
        <v>20231130</v>
      </c>
      <c r="C14" s="49" t="s">
        <v>94</v>
      </c>
      <c r="D14" s="49" t="s">
        <v>71</v>
      </c>
      <c r="E14" s="49" t="s">
        <v>137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>
        <v>110901</v>
      </c>
      <c r="U14" s="49" t="s">
        <v>95</v>
      </c>
      <c r="V14" s="49" t="s">
        <v>97</v>
      </c>
      <c r="W14" s="49" t="s">
        <v>98</v>
      </c>
      <c r="X14" s="49"/>
      <c r="Y14" s="49"/>
      <c r="Z14" s="50"/>
      <c r="AA14" s="49"/>
      <c r="AB14" s="49"/>
      <c r="AC14" s="49">
        <v>20000000</v>
      </c>
      <c r="AD14" s="49">
        <v>8000000</v>
      </c>
      <c r="AE14" s="49">
        <v>7000000</v>
      </c>
      <c r="AF14" s="49">
        <f>AD14-AE14+AC14</f>
        <v>21000000</v>
      </c>
    </row>
    <row r="15" spans="1:32" s="51" customFormat="1">
      <c r="A15" s="52">
        <v>20230401</v>
      </c>
      <c r="B15" s="52">
        <v>20231130</v>
      </c>
      <c r="C15" s="52" t="s">
        <v>94</v>
      </c>
      <c r="D15" s="52" t="s">
        <v>97</v>
      </c>
      <c r="E15" s="52" t="s">
        <v>137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>
        <v>110901</v>
      </c>
      <c r="U15" s="52" t="s">
        <v>95</v>
      </c>
      <c r="V15" s="52" t="s">
        <v>97</v>
      </c>
      <c r="W15" s="52" t="s">
        <v>98</v>
      </c>
      <c r="X15" s="52" t="s">
        <v>132</v>
      </c>
      <c r="Y15" s="52" t="s">
        <v>133</v>
      </c>
      <c r="Z15" s="53"/>
      <c r="AA15" s="52"/>
      <c r="AB15" s="52"/>
      <c r="AC15" s="52">
        <v>30000000</v>
      </c>
      <c r="AD15" s="52">
        <v>7000000</v>
      </c>
      <c r="AE15" s="52">
        <v>6000000</v>
      </c>
      <c r="AF15" s="52">
        <f t="shared" ref="AF15:AF51" si="1">AD15-AE15+AC15</f>
        <v>31000000</v>
      </c>
    </row>
    <row r="16" spans="1:32" s="51" customFormat="1">
      <c r="A16" s="49">
        <v>20230401</v>
      </c>
      <c r="B16" s="49">
        <v>20231130</v>
      </c>
      <c r="C16" s="49" t="s">
        <v>94</v>
      </c>
      <c r="D16" s="49" t="s">
        <v>97</v>
      </c>
      <c r="E16" s="49" t="s">
        <v>137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>
        <v>110901</v>
      </c>
      <c r="U16" s="49" t="s">
        <v>95</v>
      </c>
      <c r="V16" s="49" t="s">
        <v>97</v>
      </c>
      <c r="W16" s="49" t="s">
        <v>98</v>
      </c>
      <c r="X16" s="49" t="s">
        <v>132</v>
      </c>
      <c r="Y16" s="49" t="s">
        <v>133</v>
      </c>
      <c r="Z16" s="50" t="s">
        <v>99</v>
      </c>
      <c r="AA16" s="49" t="s">
        <v>100</v>
      </c>
      <c r="AB16" s="49"/>
      <c r="AC16" s="49">
        <v>40000000</v>
      </c>
      <c r="AD16" s="49"/>
      <c r="AE16" s="49">
        <v>40000000</v>
      </c>
      <c r="AF16" s="49"/>
    </row>
    <row r="17" spans="1:32" s="51" customFormat="1">
      <c r="A17" s="52">
        <v>20230401</v>
      </c>
      <c r="B17" s="52">
        <v>20231130</v>
      </c>
      <c r="C17" s="52" t="s">
        <v>94</v>
      </c>
      <c r="D17" s="52" t="s">
        <v>97</v>
      </c>
      <c r="E17" s="52" t="s">
        <v>137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>
        <v>110901</v>
      </c>
      <c r="U17" s="52" t="s">
        <v>95</v>
      </c>
      <c r="V17" s="52" t="s">
        <v>97</v>
      </c>
      <c r="W17" s="52" t="s">
        <v>98</v>
      </c>
      <c r="X17" s="53">
        <v>300089008</v>
      </c>
      <c r="Y17" s="52" t="s">
        <v>153</v>
      </c>
      <c r="Z17" s="53"/>
      <c r="AA17" s="52"/>
      <c r="AB17" s="52"/>
      <c r="AC17" s="52">
        <v>30000000</v>
      </c>
      <c r="AD17" s="52">
        <v>7000000</v>
      </c>
      <c r="AE17" s="52">
        <v>6000000</v>
      </c>
      <c r="AF17" s="52">
        <f t="shared" si="1"/>
        <v>31000000</v>
      </c>
    </row>
    <row r="18" spans="1:32" s="51" customFormat="1">
      <c r="A18" s="49">
        <v>20230401</v>
      </c>
      <c r="B18" s="49">
        <v>20231130</v>
      </c>
      <c r="C18" s="49" t="s">
        <v>94</v>
      </c>
      <c r="D18" s="49" t="s">
        <v>97</v>
      </c>
      <c r="E18" s="49" t="s">
        <v>137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>
        <v>110901</v>
      </c>
      <c r="U18" s="49" t="s">
        <v>95</v>
      </c>
      <c r="V18" s="49" t="s">
        <v>97</v>
      </c>
      <c r="W18" s="49" t="s">
        <v>98</v>
      </c>
      <c r="X18" s="50">
        <v>300089008</v>
      </c>
      <c r="Y18" s="49" t="s">
        <v>153</v>
      </c>
      <c r="Z18" s="50" t="s">
        <v>99</v>
      </c>
      <c r="AA18" s="49" t="s">
        <v>100</v>
      </c>
      <c r="AB18" s="49"/>
      <c r="AC18" s="49">
        <v>1000000</v>
      </c>
      <c r="AD18" s="49">
        <v>2000000</v>
      </c>
      <c r="AE18" s="49">
        <v>4000000</v>
      </c>
      <c r="AF18" s="49">
        <f t="shared" si="1"/>
        <v>-1000000</v>
      </c>
    </row>
    <row r="19" spans="1:32" s="51" customFormat="1">
      <c r="A19" s="52">
        <v>20230401</v>
      </c>
      <c r="B19" s="52">
        <v>20231130</v>
      </c>
      <c r="C19" s="52" t="s">
        <v>94</v>
      </c>
      <c r="D19" s="52" t="s">
        <v>97</v>
      </c>
      <c r="E19" s="52" t="s">
        <v>137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>
        <v>110902</v>
      </c>
      <c r="U19" s="52" t="s">
        <v>101</v>
      </c>
      <c r="V19" s="52" t="s">
        <v>97</v>
      </c>
      <c r="W19" s="52" t="s">
        <v>98</v>
      </c>
      <c r="X19" s="52"/>
      <c r="Y19" s="52"/>
      <c r="Z19" s="53"/>
      <c r="AA19" s="52"/>
      <c r="AB19" s="52"/>
      <c r="AC19" s="52">
        <v>60000000</v>
      </c>
      <c r="AD19" s="52">
        <v>4000000</v>
      </c>
      <c r="AE19" s="52">
        <v>3000000</v>
      </c>
      <c r="AF19" s="52">
        <f t="shared" si="1"/>
        <v>61000000</v>
      </c>
    </row>
    <row r="20" spans="1:32" s="51" customFormat="1">
      <c r="A20" s="49">
        <v>20230401</v>
      </c>
      <c r="B20" s="49">
        <v>20231130</v>
      </c>
      <c r="C20" s="49" t="s">
        <v>94</v>
      </c>
      <c r="D20" s="49" t="s">
        <v>97</v>
      </c>
      <c r="E20" s="49" t="s">
        <v>137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>
        <v>110902</v>
      </c>
      <c r="U20" s="49" t="s">
        <v>101</v>
      </c>
      <c r="V20" s="49" t="s">
        <v>97</v>
      </c>
      <c r="W20" s="49" t="s">
        <v>98</v>
      </c>
      <c r="X20" s="49" t="s">
        <v>132</v>
      </c>
      <c r="Y20" s="49" t="s">
        <v>133</v>
      </c>
      <c r="Z20" s="50"/>
      <c r="AA20" s="49"/>
      <c r="AB20" s="49"/>
      <c r="AC20" s="49">
        <v>70000000</v>
      </c>
      <c r="AD20" s="49">
        <v>3000000</v>
      </c>
      <c r="AE20" s="49">
        <v>2000000</v>
      </c>
      <c r="AF20" s="49">
        <f t="shared" si="1"/>
        <v>71000000</v>
      </c>
    </row>
    <row r="21" spans="1:32" s="51" customFormat="1">
      <c r="A21" s="52">
        <v>20230401</v>
      </c>
      <c r="B21" s="52">
        <v>20231130</v>
      </c>
      <c r="C21" s="52" t="s">
        <v>94</v>
      </c>
      <c r="D21" s="52" t="s">
        <v>97</v>
      </c>
      <c r="E21" s="52" t="s">
        <v>137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>
        <v>110902</v>
      </c>
      <c r="U21" s="52" t="s">
        <v>101</v>
      </c>
      <c r="V21" s="52" t="s">
        <v>97</v>
      </c>
      <c r="W21" s="52" t="s">
        <v>98</v>
      </c>
      <c r="X21" s="52" t="s">
        <v>132</v>
      </c>
      <c r="Y21" s="52" t="s">
        <v>133</v>
      </c>
      <c r="Z21" s="53">
        <v>10002</v>
      </c>
      <c r="AA21" s="52" t="s">
        <v>103</v>
      </c>
      <c r="AB21" s="52"/>
      <c r="AC21" s="52">
        <v>80000000</v>
      </c>
      <c r="AD21" s="52">
        <v>2000000</v>
      </c>
      <c r="AE21" s="52">
        <v>8000000</v>
      </c>
      <c r="AF21" s="52">
        <f t="shared" si="1"/>
        <v>74000000</v>
      </c>
    </row>
    <row r="22" spans="1:32" s="51" customFormat="1">
      <c r="A22" s="49">
        <v>20230401</v>
      </c>
      <c r="B22" s="49">
        <v>20231130</v>
      </c>
      <c r="C22" s="49" t="s">
        <v>94</v>
      </c>
      <c r="D22" s="49" t="s">
        <v>141</v>
      </c>
      <c r="E22" s="49" t="s">
        <v>161</v>
      </c>
      <c r="F22" s="49"/>
      <c r="G22" s="49"/>
      <c r="H22" s="49">
        <v>40</v>
      </c>
      <c r="I22" s="49" t="s">
        <v>102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>
        <v>110501</v>
      </c>
      <c r="U22" s="49" t="s">
        <v>154</v>
      </c>
      <c r="V22" s="49" t="s">
        <v>96</v>
      </c>
      <c r="W22" s="49"/>
      <c r="X22" s="49"/>
      <c r="Y22" s="49"/>
      <c r="Z22" s="50"/>
      <c r="AA22" s="49"/>
      <c r="AB22" s="49"/>
      <c r="AC22" s="49">
        <v>20000000</v>
      </c>
      <c r="AD22" s="49">
        <v>8000000</v>
      </c>
      <c r="AE22" s="49">
        <v>7000000</v>
      </c>
      <c r="AF22" s="49">
        <f>AD22-AE22+AC22</f>
        <v>21000000</v>
      </c>
    </row>
    <row r="23" spans="1:32" s="51" customFormat="1">
      <c r="A23" s="52">
        <v>20230401</v>
      </c>
      <c r="B23" s="52">
        <v>20231130</v>
      </c>
      <c r="C23" s="52" t="s">
        <v>94</v>
      </c>
      <c r="D23" s="52" t="s">
        <v>140</v>
      </c>
      <c r="E23" s="52" t="s">
        <v>161</v>
      </c>
      <c r="F23" s="52"/>
      <c r="G23" s="52"/>
      <c r="H23" s="52">
        <v>40</v>
      </c>
      <c r="I23" s="52" t="s">
        <v>102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>
        <v>110501</v>
      </c>
      <c r="U23" s="52" t="s">
        <v>154</v>
      </c>
      <c r="V23" s="52" t="s">
        <v>96</v>
      </c>
      <c r="W23" s="52"/>
      <c r="X23" s="52" t="s">
        <v>132</v>
      </c>
      <c r="Y23" s="52" t="s">
        <v>133</v>
      </c>
      <c r="Z23" s="53"/>
      <c r="AA23" s="52"/>
      <c r="AB23" s="52"/>
      <c r="AC23" s="52">
        <v>30000000</v>
      </c>
      <c r="AD23" s="52">
        <v>7000000</v>
      </c>
      <c r="AE23" s="52">
        <v>6000000</v>
      </c>
      <c r="AF23" s="52">
        <f t="shared" ref="AF23" si="2">AD23-AE23+AC23</f>
        <v>31000000</v>
      </c>
    </row>
    <row r="24" spans="1:32" s="51" customFormat="1">
      <c r="A24" s="49">
        <v>20230401</v>
      </c>
      <c r="B24" s="49">
        <v>20231130</v>
      </c>
      <c r="C24" s="49" t="s">
        <v>94</v>
      </c>
      <c r="D24" s="49" t="s">
        <v>141</v>
      </c>
      <c r="E24" s="49" t="s">
        <v>161</v>
      </c>
      <c r="F24" s="49"/>
      <c r="G24" s="49"/>
      <c r="H24" s="49">
        <v>40</v>
      </c>
      <c r="I24" s="49" t="s">
        <v>102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>
        <v>110901</v>
      </c>
      <c r="U24" s="49" t="s">
        <v>95</v>
      </c>
      <c r="V24" s="49" t="s">
        <v>97</v>
      </c>
      <c r="W24" s="49" t="s">
        <v>98</v>
      </c>
      <c r="X24" s="49"/>
      <c r="Y24" s="49"/>
      <c r="Z24" s="50"/>
      <c r="AA24" s="49"/>
      <c r="AB24" s="49"/>
      <c r="AC24" s="49">
        <v>20000000</v>
      </c>
      <c r="AD24" s="49">
        <v>8000000</v>
      </c>
      <c r="AE24" s="49">
        <v>7000000</v>
      </c>
      <c r="AF24" s="49">
        <f t="shared" si="1"/>
        <v>21000000</v>
      </c>
    </row>
    <row r="25" spans="1:32" s="51" customFormat="1">
      <c r="A25" s="52">
        <v>20230401</v>
      </c>
      <c r="B25" s="52">
        <v>20231130</v>
      </c>
      <c r="C25" s="52" t="s">
        <v>94</v>
      </c>
      <c r="D25" s="52" t="s">
        <v>140</v>
      </c>
      <c r="E25" s="52" t="s">
        <v>161</v>
      </c>
      <c r="F25" s="52"/>
      <c r="G25" s="52"/>
      <c r="H25" s="52">
        <v>40</v>
      </c>
      <c r="I25" s="52" t="s">
        <v>102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>
        <v>110901</v>
      </c>
      <c r="U25" s="52" t="s">
        <v>95</v>
      </c>
      <c r="V25" s="52" t="s">
        <v>97</v>
      </c>
      <c r="W25" s="52" t="s">
        <v>98</v>
      </c>
      <c r="X25" s="52" t="s">
        <v>132</v>
      </c>
      <c r="Y25" s="52" t="s">
        <v>133</v>
      </c>
      <c r="Z25" s="53"/>
      <c r="AA25" s="52"/>
      <c r="AB25" s="52"/>
      <c r="AC25" s="52">
        <v>30000000</v>
      </c>
      <c r="AD25" s="52">
        <v>7000000</v>
      </c>
      <c r="AE25" s="52">
        <v>6000000</v>
      </c>
      <c r="AF25" s="52">
        <f t="shared" si="1"/>
        <v>31000000</v>
      </c>
    </row>
    <row r="26" spans="1:32" s="51" customFormat="1">
      <c r="A26" s="49">
        <v>20230401</v>
      </c>
      <c r="B26" s="49">
        <v>20231130</v>
      </c>
      <c r="C26" s="49" t="s">
        <v>94</v>
      </c>
      <c r="D26" s="49" t="s">
        <v>140</v>
      </c>
      <c r="E26" s="49" t="s">
        <v>161</v>
      </c>
      <c r="F26" s="49"/>
      <c r="G26" s="49"/>
      <c r="H26" s="49">
        <v>40</v>
      </c>
      <c r="I26" s="49" t="s">
        <v>102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>
        <v>110901</v>
      </c>
      <c r="U26" s="49" t="s">
        <v>95</v>
      </c>
      <c r="V26" s="49" t="s">
        <v>97</v>
      </c>
      <c r="W26" s="49" t="s">
        <v>98</v>
      </c>
      <c r="X26" s="49" t="s">
        <v>132</v>
      </c>
      <c r="Y26" s="49" t="s">
        <v>133</v>
      </c>
      <c r="Z26" s="50" t="s">
        <v>99</v>
      </c>
      <c r="AA26" s="49" t="s">
        <v>100</v>
      </c>
      <c r="AB26" s="49"/>
      <c r="AC26" s="49">
        <v>40000000</v>
      </c>
      <c r="AD26" s="49"/>
      <c r="AE26" s="49">
        <v>40000000</v>
      </c>
      <c r="AF26" s="49"/>
    </row>
    <row r="27" spans="1:32" s="51" customFormat="1">
      <c r="A27" s="52">
        <v>20230401</v>
      </c>
      <c r="B27" s="52">
        <v>20231130</v>
      </c>
      <c r="C27" s="52" t="s">
        <v>94</v>
      </c>
      <c r="D27" s="52" t="s">
        <v>140</v>
      </c>
      <c r="E27" s="52" t="s">
        <v>161</v>
      </c>
      <c r="F27" s="52"/>
      <c r="G27" s="52"/>
      <c r="H27" s="52">
        <v>40</v>
      </c>
      <c r="I27" s="52" t="s">
        <v>102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>
        <v>110901</v>
      </c>
      <c r="U27" s="52" t="s">
        <v>95</v>
      </c>
      <c r="V27" s="52" t="s">
        <v>97</v>
      </c>
      <c r="W27" s="52" t="s">
        <v>98</v>
      </c>
      <c r="X27" s="53">
        <v>300089008</v>
      </c>
      <c r="Y27" s="52" t="s">
        <v>153</v>
      </c>
      <c r="Z27" s="53"/>
      <c r="AA27" s="52"/>
      <c r="AB27" s="52"/>
      <c r="AC27" s="52">
        <v>30000000</v>
      </c>
      <c r="AD27" s="52">
        <v>7000000</v>
      </c>
      <c r="AE27" s="52">
        <v>6000000</v>
      </c>
      <c r="AF27" s="52">
        <f t="shared" si="1"/>
        <v>31000000</v>
      </c>
    </row>
    <row r="28" spans="1:32" s="51" customFormat="1">
      <c r="A28" s="49">
        <v>20230401</v>
      </c>
      <c r="B28" s="49">
        <v>20231130</v>
      </c>
      <c r="C28" s="49" t="s">
        <v>94</v>
      </c>
      <c r="D28" s="49" t="s">
        <v>140</v>
      </c>
      <c r="E28" s="49" t="s">
        <v>161</v>
      </c>
      <c r="F28" s="49"/>
      <c r="G28" s="49"/>
      <c r="H28" s="49">
        <v>40</v>
      </c>
      <c r="I28" s="49" t="s">
        <v>102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>
        <v>110901</v>
      </c>
      <c r="U28" s="49" t="s">
        <v>95</v>
      </c>
      <c r="V28" s="49" t="s">
        <v>97</v>
      </c>
      <c r="W28" s="49" t="s">
        <v>98</v>
      </c>
      <c r="X28" s="50">
        <v>300089008</v>
      </c>
      <c r="Y28" s="49" t="s">
        <v>153</v>
      </c>
      <c r="Z28" s="50" t="s">
        <v>99</v>
      </c>
      <c r="AA28" s="49" t="s">
        <v>100</v>
      </c>
      <c r="AB28" s="49"/>
      <c r="AC28" s="49">
        <v>1000000</v>
      </c>
      <c r="AD28" s="49">
        <v>2000000</v>
      </c>
      <c r="AE28" s="49">
        <v>4000000</v>
      </c>
      <c r="AF28" s="49">
        <f t="shared" ref="AF28" si="3">AD28-AE28+AC28</f>
        <v>-1000000</v>
      </c>
    </row>
    <row r="29" spans="1:32" s="51" customFormat="1">
      <c r="A29" s="52">
        <v>20230401</v>
      </c>
      <c r="B29" s="52">
        <v>20231130</v>
      </c>
      <c r="C29" s="52" t="s">
        <v>94</v>
      </c>
      <c r="D29" s="52" t="s">
        <v>140</v>
      </c>
      <c r="E29" s="52" t="s">
        <v>161</v>
      </c>
      <c r="F29" s="52"/>
      <c r="G29" s="52"/>
      <c r="H29" s="52">
        <v>40</v>
      </c>
      <c r="I29" s="52" t="s">
        <v>102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>
        <v>110902</v>
      </c>
      <c r="U29" s="52" t="s">
        <v>101</v>
      </c>
      <c r="V29" s="52" t="s">
        <v>97</v>
      </c>
      <c r="W29" s="52" t="s">
        <v>98</v>
      </c>
      <c r="X29" s="52"/>
      <c r="Y29" s="52"/>
      <c r="Z29" s="53"/>
      <c r="AA29" s="52"/>
      <c r="AB29" s="52"/>
      <c r="AC29" s="52">
        <v>60000000</v>
      </c>
      <c r="AD29" s="52">
        <v>4000000</v>
      </c>
      <c r="AE29" s="52">
        <v>3000000</v>
      </c>
      <c r="AF29" s="52">
        <f t="shared" si="1"/>
        <v>61000000</v>
      </c>
    </row>
    <row r="30" spans="1:32" s="51" customFormat="1">
      <c r="A30" s="49">
        <v>20230401</v>
      </c>
      <c r="B30" s="49">
        <v>20231130</v>
      </c>
      <c r="C30" s="49" t="s">
        <v>94</v>
      </c>
      <c r="D30" s="49" t="s">
        <v>140</v>
      </c>
      <c r="E30" s="49" t="s">
        <v>161</v>
      </c>
      <c r="F30" s="49"/>
      <c r="G30" s="49"/>
      <c r="H30" s="49">
        <v>40</v>
      </c>
      <c r="I30" s="49" t="s">
        <v>102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>
        <v>110902</v>
      </c>
      <c r="U30" s="49" t="s">
        <v>101</v>
      </c>
      <c r="V30" s="49" t="s">
        <v>97</v>
      </c>
      <c r="W30" s="49" t="s">
        <v>98</v>
      </c>
      <c r="X30" s="49" t="s">
        <v>132</v>
      </c>
      <c r="Y30" s="49" t="s">
        <v>133</v>
      </c>
      <c r="Z30" s="50"/>
      <c r="AA30" s="49"/>
      <c r="AB30" s="49"/>
      <c r="AC30" s="49">
        <v>70000000</v>
      </c>
      <c r="AD30" s="49">
        <v>3000000</v>
      </c>
      <c r="AE30" s="49">
        <v>2000000</v>
      </c>
      <c r="AF30" s="49">
        <f t="shared" si="1"/>
        <v>71000000</v>
      </c>
    </row>
    <row r="31" spans="1:32" s="51" customFormat="1">
      <c r="A31" s="52">
        <v>20230401</v>
      </c>
      <c r="B31" s="52">
        <v>20231130</v>
      </c>
      <c r="C31" s="52" t="s">
        <v>94</v>
      </c>
      <c r="D31" s="52" t="s">
        <v>140</v>
      </c>
      <c r="E31" s="52" t="s">
        <v>161</v>
      </c>
      <c r="F31" s="52"/>
      <c r="G31" s="52"/>
      <c r="H31" s="52">
        <v>40</v>
      </c>
      <c r="I31" s="52" t="s">
        <v>102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>
        <v>110902</v>
      </c>
      <c r="U31" s="52" t="s">
        <v>101</v>
      </c>
      <c r="V31" s="52" t="s">
        <v>97</v>
      </c>
      <c r="W31" s="52" t="s">
        <v>98</v>
      </c>
      <c r="X31" s="52" t="s">
        <v>132</v>
      </c>
      <c r="Y31" s="52" t="s">
        <v>133</v>
      </c>
      <c r="Z31" s="53">
        <v>10002</v>
      </c>
      <c r="AA31" s="52" t="s">
        <v>103</v>
      </c>
      <c r="AB31" s="52"/>
      <c r="AC31" s="52">
        <v>80000000</v>
      </c>
      <c r="AD31" s="52">
        <v>2000000</v>
      </c>
      <c r="AE31" s="52">
        <v>7000000</v>
      </c>
      <c r="AF31" s="52">
        <f t="shared" si="1"/>
        <v>75000000</v>
      </c>
    </row>
    <row r="32" spans="1:32" s="51" customFormat="1">
      <c r="A32" s="49">
        <v>20230401</v>
      </c>
      <c r="B32" s="49">
        <v>20231130</v>
      </c>
      <c r="C32" s="49" t="s">
        <v>94</v>
      </c>
      <c r="D32" s="49" t="s">
        <v>143</v>
      </c>
      <c r="E32" s="49" t="s">
        <v>162</v>
      </c>
      <c r="F32" s="49"/>
      <c r="G32" s="49"/>
      <c r="H32" s="49">
        <v>40</v>
      </c>
      <c r="I32" s="49" t="s">
        <v>102</v>
      </c>
      <c r="J32" s="49">
        <v>81</v>
      </c>
      <c r="K32" s="49" t="s">
        <v>104</v>
      </c>
      <c r="L32" s="49"/>
      <c r="M32" s="49"/>
      <c r="N32" s="49"/>
      <c r="O32" s="49"/>
      <c r="P32" s="49"/>
      <c r="Q32" s="49"/>
      <c r="R32" s="49"/>
      <c r="S32" s="49"/>
      <c r="T32" s="49">
        <v>110501</v>
      </c>
      <c r="U32" s="49" t="s">
        <v>154</v>
      </c>
      <c r="V32" s="49" t="s">
        <v>96</v>
      </c>
      <c r="W32" s="49"/>
      <c r="X32" s="49"/>
      <c r="Y32" s="49"/>
      <c r="Z32" s="50"/>
      <c r="AA32" s="49"/>
      <c r="AB32" s="49"/>
      <c r="AC32" s="49">
        <v>20000000</v>
      </c>
      <c r="AD32" s="49">
        <v>8000000</v>
      </c>
      <c r="AE32" s="49">
        <v>7000000</v>
      </c>
      <c r="AF32" s="49">
        <f>AD32-AE32+AC32</f>
        <v>21000000</v>
      </c>
    </row>
    <row r="33" spans="1:32" s="51" customFormat="1">
      <c r="A33" s="52">
        <v>20230401</v>
      </c>
      <c r="B33" s="52">
        <v>20231130</v>
      </c>
      <c r="C33" s="52" t="s">
        <v>94</v>
      </c>
      <c r="D33" s="52" t="s">
        <v>142</v>
      </c>
      <c r="E33" s="52" t="s">
        <v>162</v>
      </c>
      <c r="F33" s="52"/>
      <c r="G33" s="52"/>
      <c r="H33" s="52">
        <v>40</v>
      </c>
      <c r="I33" s="52" t="s">
        <v>102</v>
      </c>
      <c r="J33" s="52">
        <v>81</v>
      </c>
      <c r="K33" s="52" t="s">
        <v>104</v>
      </c>
      <c r="L33" s="52"/>
      <c r="M33" s="52"/>
      <c r="N33" s="52"/>
      <c r="O33" s="52"/>
      <c r="P33" s="52"/>
      <c r="Q33" s="52"/>
      <c r="R33" s="52"/>
      <c r="S33" s="52"/>
      <c r="T33" s="52">
        <v>110501</v>
      </c>
      <c r="U33" s="52" t="s">
        <v>154</v>
      </c>
      <c r="V33" s="52" t="s">
        <v>96</v>
      </c>
      <c r="W33" s="52"/>
      <c r="X33" s="52" t="s">
        <v>132</v>
      </c>
      <c r="Y33" s="52" t="s">
        <v>133</v>
      </c>
      <c r="Z33" s="53"/>
      <c r="AA33" s="52"/>
      <c r="AB33" s="52"/>
      <c r="AC33" s="52">
        <v>30000000</v>
      </c>
      <c r="AD33" s="52">
        <v>7000000</v>
      </c>
      <c r="AE33" s="52">
        <v>6000000</v>
      </c>
      <c r="AF33" s="52">
        <f t="shared" ref="AF33" si="4">AD33-AE33+AC33</f>
        <v>31000000</v>
      </c>
    </row>
    <row r="34" spans="1:32" s="51" customFormat="1">
      <c r="A34" s="49">
        <v>20230401</v>
      </c>
      <c r="B34" s="49">
        <v>20231130</v>
      </c>
      <c r="C34" s="49" t="s">
        <v>94</v>
      </c>
      <c r="D34" s="49" t="s">
        <v>143</v>
      </c>
      <c r="E34" s="49" t="s">
        <v>162</v>
      </c>
      <c r="F34" s="49"/>
      <c r="G34" s="49"/>
      <c r="H34" s="49">
        <v>40</v>
      </c>
      <c r="I34" s="49" t="s">
        <v>102</v>
      </c>
      <c r="J34" s="49">
        <v>81</v>
      </c>
      <c r="K34" s="49" t="s">
        <v>104</v>
      </c>
      <c r="L34" s="49"/>
      <c r="M34" s="49"/>
      <c r="N34" s="49"/>
      <c r="O34" s="49"/>
      <c r="P34" s="49"/>
      <c r="Q34" s="49"/>
      <c r="R34" s="49"/>
      <c r="S34" s="49"/>
      <c r="T34" s="49">
        <v>110901</v>
      </c>
      <c r="U34" s="49" t="s">
        <v>95</v>
      </c>
      <c r="V34" s="49" t="s">
        <v>97</v>
      </c>
      <c r="W34" s="49" t="s">
        <v>98</v>
      </c>
      <c r="X34" s="49"/>
      <c r="Y34" s="49"/>
      <c r="Z34" s="50"/>
      <c r="AA34" s="49"/>
      <c r="AB34" s="49"/>
      <c r="AC34" s="49">
        <v>20000000</v>
      </c>
      <c r="AD34" s="49">
        <v>8000000</v>
      </c>
      <c r="AE34" s="49">
        <v>6000000</v>
      </c>
      <c r="AF34" s="49">
        <f t="shared" si="1"/>
        <v>22000000</v>
      </c>
    </row>
    <row r="35" spans="1:32" s="51" customFormat="1">
      <c r="A35" s="52">
        <v>20230401</v>
      </c>
      <c r="B35" s="52">
        <v>20231130</v>
      </c>
      <c r="C35" s="52" t="s">
        <v>94</v>
      </c>
      <c r="D35" s="52" t="s">
        <v>142</v>
      </c>
      <c r="E35" s="52" t="s">
        <v>162</v>
      </c>
      <c r="F35" s="52"/>
      <c r="G35" s="52"/>
      <c r="H35" s="52">
        <v>40</v>
      </c>
      <c r="I35" s="52" t="s">
        <v>102</v>
      </c>
      <c r="J35" s="52">
        <v>81</v>
      </c>
      <c r="K35" s="52" t="s">
        <v>104</v>
      </c>
      <c r="L35" s="52"/>
      <c r="M35" s="52"/>
      <c r="N35" s="52"/>
      <c r="O35" s="52"/>
      <c r="P35" s="52"/>
      <c r="Q35" s="52"/>
      <c r="R35" s="52"/>
      <c r="S35" s="52"/>
      <c r="T35" s="52">
        <v>110901</v>
      </c>
      <c r="U35" s="52" t="s">
        <v>95</v>
      </c>
      <c r="V35" s="52" t="s">
        <v>97</v>
      </c>
      <c r="W35" s="52" t="s">
        <v>98</v>
      </c>
      <c r="X35" s="52" t="s">
        <v>132</v>
      </c>
      <c r="Y35" s="52" t="s">
        <v>133</v>
      </c>
      <c r="Z35" s="53"/>
      <c r="AA35" s="52"/>
      <c r="AB35" s="52"/>
      <c r="AC35" s="52">
        <v>30000000</v>
      </c>
      <c r="AD35" s="52">
        <v>7000000</v>
      </c>
      <c r="AE35" s="52">
        <v>7000000</v>
      </c>
      <c r="AF35" s="52">
        <f t="shared" si="1"/>
        <v>30000000</v>
      </c>
    </row>
    <row r="36" spans="1:32" s="51" customFormat="1">
      <c r="A36" s="49">
        <v>20230401</v>
      </c>
      <c r="B36" s="49">
        <v>20231130</v>
      </c>
      <c r="C36" s="49" t="s">
        <v>94</v>
      </c>
      <c r="D36" s="49" t="s">
        <v>142</v>
      </c>
      <c r="E36" s="49" t="s">
        <v>162</v>
      </c>
      <c r="F36" s="49"/>
      <c r="G36" s="49"/>
      <c r="H36" s="49">
        <v>40</v>
      </c>
      <c r="I36" s="49" t="s">
        <v>102</v>
      </c>
      <c r="J36" s="49">
        <v>81</v>
      </c>
      <c r="K36" s="49" t="s">
        <v>104</v>
      </c>
      <c r="L36" s="49"/>
      <c r="M36" s="49"/>
      <c r="N36" s="49"/>
      <c r="O36" s="49"/>
      <c r="P36" s="49"/>
      <c r="Q36" s="49"/>
      <c r="R36" s="49"/>
      <c r="S36" s="49"/>
      <c r="T36" s="49">
        <v>110901</v>
      </c>
      <c r="U36" s="49" t="s">
        <v>95</v>
      </c>
      <c r="V36" s="49" t="s">
        <v>97</v>
      </c>
      <c r="W36" s="49" t="s">
        <v>98</v>
      </c>
      <c r="X36" s="49" t="s">
        <v>132</v>
      </c>
      <c r="Y36" s="49" t="s">
        <v>133</v>
      </c>
      <c r="Z36" s="50" t="s">
        <v>99</v>
      </c>
      <c r="AA36" s="49" t="s">
        <v>100</v>
      </c>
      <c r="AB36" s="49"/>
      <c r="AC36" s="49">
        <v>40000000</v>
      </c>
      <c r="AD36" s="49"/>
      <c r="AE36" s="49">
        <v>40000000</v>
      </c>
      <c r="AF36" s="49"/>
    </row>
    <row r="37" spans="1:32" s="51" customFormat="1">
      <c r="A37" s="52">
        <v>20230401</v>
      </c>
      <c r="B37" s="52">
        <v>20231130</v>
      </c>
      <c r="C37" s="52" t="s">
        <v>94</v>
      </c>
      <c r="D37" s="52" t="s">
        <v>142</v>
      </c>
      <c r="E37" s="52" t="s">
        <v>162</v>
      </c>
      <c r="F37" s="52"/>
      <c r="G37" s="52"/>
      <c r="H37" s="52">
        <v>40</v>
      </c>
      <c r="I37" s="52" t="s">
        <v>102</v>
      </c>
      <c r="J37" s="52">
        <v>81</v>
      </c>
      <c r="K37" s="52" t="s">
        <v>104</v>
      </c>
      <c r="L37" s="52"/>
      <c r="M37" s="52"/>
      <c r="N37" s="52"/>
      <c r="O37" s="52"/>
      <c r="P37" s="52"/>
      <c r="Q37" s="52"/>
      <c r="R37" s="52"/>
      <c r="S37" s="52"/>
      <c r="T37" s="52">
        <v>110901</v>
      </c>
      <c r="U37" s="52" t="s">
        <v>95</v>
      </c>
      <c r="V37" s="52" t="s">
        <v>97</v>
      </c>
      <c r="W37" s="52" t="s">
        <v>98</v>
      </c>
      <c r="X37" s="53">
        <v>300089008</v>
      </c>
      <c r="Y37" s="52" t="s">
        <v>153</v>
      </c>
      <c r="Z37" s="53"/>
      <c r="AA37" s="52"/>
      <c r="AB37" s="52"/>
      <c r="AC37" s="52">
        <v>30000000</v>
      </c>
      <c r="AD37" s="52">
        <v>7000000</v>
      </c>
      <c r="AE37" s="52">
        <v>4000000</v>
      </c>
      <c r="AF37" s="52">
        <f t="shared" si="1"/>
        <v>33000000</v>
      </c>
    </row>
    <row r="38" spans="1:32" s="51" customFormat="1">
      <c r="A38" s="49">
        <v>20230401</v>
      </c>
      <c r="B38" s="49">
        <v>20231130</v>
      </c>
      <c r="C38" s="49" t="s">
        <v>94</v>
      </c>
      <c r="D38" s="49" t="s">
        <v>142</v>
      </c>
      <c r="E38" s="49" t="s">
        <v>162</v>
      </c>
      <c r="F38" s="49"/>
      <c r="G38" s="49"/>
      <c r="H38" s="49">
        <v>40</v>
      </c>
      <c r="I38" s="49" t="s">
        <v>102</v>
      </c>
      <c r="J38" s="49">
        <v>81</v>
      </c>
      <c r="K38" s="49" t="s">
        <v>104</v>
      </c>
      <c r="L38" s="49"/>
      <c r="M38" s="49"/>
      <c r="N38" s="49"/>
      <c r="O38" s="49"/>
      <c r="P38" s="49"/>
      <c r="Q38" s="49"/>
      <c r="R38" s="49"/>
      <c r="S38" s="49"/>
      <c r="T38" s="49">
        <v>110901</v>
      </c>
      <c r="U38" s="49" t="s">
        <v>95</v>
      </c>
      <c r="V38" s="49" t="s">
        <v>97</v>
      </c>
      <c r="W38" s="49" t="s">
        <v>98</v>
      </c>
      <c r="X38" s="50">
        <v>300089008</v>
      </c>
      <c r="Y38" s="49" t="s">
        <v>153</v>
      </c>
      <c r="Z38" s="50" t="s">
        <v>99</v>
      </c>
      <c r="AA38" s="49" t="s">
        <v>100</v>
      </c>
      <c r="AB38" s="49"/>
      <c r="AC38" s="49">
        <v>1000000</v>
      </c>
      <c r="AD38" s="49">
        <v>2000000</v>
      </c>
      <c r="AE38" s="49">
        <v>4000000</v>
      </c>
      <c r="AF38" s="49">
        <f t="shared" ref="AF38" si="5">AD38-AE38+AC38</f>
        <v>-1000000</v>
      </c>
    </row>
    <row r="39" spans="1:32" s="51" customFormat="1">
      <c r="A39" s="52">
        <v>20230401</v>
      </c>
      <c r="B39" s="52">
        <v>20231130</v>
      </c>
      <c r="C39" s="52" t="s">
        <v>94</v>
      </c>
      <c r="D39" s="52" t="s">
        <v>142</v>
      </c>
      <c r="E39" s="52" t="s">
        <v>162</v>
      </c>
      <c r="F39" s="52"/>
      <c r="G39" s="52"/>
      <c r="H39" s="52">
        <v>40</v>
      </c>
      <c r="I39" s="52" t="s">
        <v>102</v>
      </c>
      <c r="J39" s="52">
        <v>81</v>
      </c>
      <c r="K39" s="52" t="s">
        <v>104</v>
      </c>
      <c r="L39" s="52"/>
      <c r="M39" s="52"/>
      <c r="N39" s="52"/>
      <c r="O39" s="52"/>
      <c r="P39" s="52"/>
      <c r="Q39" s="52"/>
      <c r="R39" s="52"/>
      <c r="S39" s="52"/>
      <c r="T39" s="52">
        <v>110902</v>
      </c>
      <c r="U39" s="52" t="s">
        <v>101</v>
      </c>
      <c r="V39" s="52" t="s">
        <v>97</v>
      </c>
      <c r="W39" s="52" t="s">
        <v>98</v>
      </c>
      <c r="X39" s="52"/>
      <c r="Y39" s="52"/>
      <c r="Z39" s="53"/>
      <c r="AA39" s="52"/>
      <c r="AB39" s="52"/>
      <c r="AC39" s="52">
        <v>60000000</v>
      </c>
      <c r="AD39" s="52">
        <v>4000000</v>
      </c>
      <c r="AE39" s="52">
        <v>2000000</v>
      </c>
      <c r="AF39" s="52">
        <f t="shared" si="1"/>
        <v>62000000</v>
      </c>
    </row>
    <row r="40" spans="1:32" s="51" customFormat="1">
      <c r="A40" s="49">
        <v>20230401</v>
      </c>
      <c r="B40" s="49">
        <v>20231130</v>
      </c>
      <c r="C40" s="49" t="s">
        <v>94</v>
      </c>
      <c r="D40" s="49" t="s">
        <v>142</v>
      </c>
      <c r="E40" s="49" t="s">
        <v>162</v>
      </c>
      <c r="F40" s="49"/>
      <c r="G40" s="49"/>
      <c r="H40" s="49">
        <v>40</v>
      </c>
      <c r="I40" s="49" t="s">
        <v>102</v>
      </c>
      <c r="J40" s="49">
        <v>81</v>
      </c>
      <c r="K40" s="49" t="s">
        <v>104</v>
      </c>
      <c r="L40" s="49"/>
      <c r="M40" s="49"/>
      <c r="N40" s="49"/>
      <c r="O40" s="49"/>
      <c r="P40" s="49"/>
      <c r="Q40" s="49"/>
      <c r="R40" s="49"/>
      <c r="S40" s="49"/>
      <c r="T40" s="49">
        <v>110902</v>
      </c>
      <c r="U40" s="49" t="s">
        <v>101</v>
      </c>
      <c r="V40" s="49" t="s">
        <v>97</v>
      </c>
      <c r="W40" s="49" t="s">
        <v>98</v>
      </c>
      <c r="X40" s="49" t="s">
        <v>132</v>
      </c>
      <c r="Y40" s="49" t="s">
        <v>133</v>
      </c>
      <c r="Z40" s="50"/>
      <c r="AA40" s="49"/>
      <c r="AB40" s="49"/>
      <c r="AC40" s="49">
        <v>70000000</v>
      </c>
      <c r="AD40" s="49">
        <v>3000000</v>
      </c>
      <c r="AE40" s="49">
        <v>8000000</v>
      </c>
      <c r="AF40" s="49">
        <f t="shared" si="1"/>
        <v>65000000</v>
      </c>
    </row>
    <row r="41" spans="1:32" s="51" customFormat="1">
      <c r="A41" s="52">
        <v>20230401</v>
      </c>
      <c r="B41" s="52">
        <v>20231130</v>
      </c>
      <c r="C41" s="52" t="s">
        <v>94</v>
      </c>
      <c r="D41" s="52" t="s">
        <v>142</v>
      </c>
      <c r="E41" s="52" t="s">
        <v>162</v>
      </c>
      <c r="F41" s="52"/>
      <c r="G41" s="52"/>
      <c r="H41" s="52">
        <v>40</v>
      </c>
      <c r="I41" s="52" t="s">
        <v>102</v>
      </c>
      <c r="J41" s="52">
        <v>81</v>
      </c>
      <c r="K41" s="52" t="s">
        <v>104</v>
      </c>
      <c r="L41" s="52"/>
      <c r="M41" s="52"/>
      <c r="N41" s="52"/>
      <c r="O41" s="52"/>
      <c r="P41" s="52"/>
      <c r="Q41" s="52"/>
      <c r="R41" s="52"/>
      <c r="S41" s="52"/>
      <c r="T41" s="52">
        <v>110902</v>
      </c>
      <c r="U41" s="52" t="s">
        <v>101</v>
      </c>
      <c r="V41" s="52" t="s">
        <v>97</v>
      </c>
      <c r="W41" s="52" t="s">
        <v>98</v>
      </c>
      <c r="X41" s="52" t="s">
        <v>132</v>
      </c>
      <c r="Y41" s="52" t="s">
        <v>133</v>
      </c>
      <c r="Z41" s="53">
        <v>10002</v>
      </c>
      <c r="AA41" s="52" t="s">
        <v>103</v>
      </c>
      <c r="AB41" s="52"/>
      <c r="AC41" s="52">
        <v>80000000</v>
      </c>
      <c r="AD41" s="52">
        <v>2000000</v>
      </c>
      <c r="AE41" s="52">
        <v>7000000</v>
      </c>
      <c r="AF41" s="52">
        <f t="shared" si="1"/>
        <v>75000000</v>
      </c>
    </row>
    <row r="42" spans="1:32" s="51" customFormat="1">
      <c r="A42" s="49">
        <v>20230401</v>
      </c>
      <c r="B42" s="49">
        <v>20231130</v>
      </c>
      <c r="C42" s="49" t="s">
        <v>94</v>
      </c>
      <c r="D42" s="49" t="s">
        <v>145</v>
      </c>
      <c r="E42" s="49" t="s">
        <v>163</v>
      </c>
      <c r="F42" s="49"/>
      <c r="G42" s="49"/>
      <c r="H42" s="49">
        <v>40</v>
      </c>
      <c r="I42" s="49" t="s">
        <v>102</v>
      </c>
      <c r="J42" s="49">
        <v>81</v>
      </c>
      <c r="K42" s="49" t="s">
        <v>104</v>
      </c>
      <c r="L42" s="49"/>
      <c r="M42" s="49"/>
      <c r="N42" s="49"/>
      <c r="O42" s="49"/>
      <c r="P42" s="49"/>
      <c r="Q42" s="49"/>
      <c r="R42" s="49">
        <v>90</v>
      </c>
      <c r="S42" s="49" t="s">
        <v>104</v>
      </c>
      <c r="T42" s="49">
        <v>110501</v>
      </c>
      <c r="U42" s="49" t="s">
        <v>154</v>
      </c>
      <c r="V42" s="49" t="s">
        <v>96</v>
      </c>
      <c r="W42" s="49"/>
      <c r="X42" s="49"/>
      <c r="Y42" s="49"/>
      <c r="Z42" s="50"/>
      <c r="AA42" s="49"/>
      <c r="AB42" s="49"/>
      <c r="AC42" s="49">
        <v>20000000</v>
      </c>
      <c r="AD42" s="49">
        <v>8000000</v>
      </c>
      <c r="AE42" s="49">
        <v>6000000</v>
      </c>
      <c r="AF42" s="49">
        <f t="shared" ref="AF42:AF43" si="6">AD42-AE42+AC42</f>
        <v>22000000</v>
      </c>
    </row>
    <row r="43" spans="1:32" s="51" customFormat="1">
      <c r="A43" s="52">
        <v>20230401</v>
      </c>
      <c r="B43" s="52">
        <v>20231130</v>
      </c>
      <c r="C43" s="52" t="s">
        <v>94</v>
      </c>
      <c r="D43" s="52" t="s">
        <v>144</v>
      </c>
      <c r="E43" s="52" t="s">
        <v>163</v>
      </c>
      <c r="F43" s="52"/>
      <c r="G43" s="52"/>
      <c r="H43" s="52">
        <v>40</v>
      </c>
      <c r="I43" s="52" t="s">
        <v>102</v>
      </c>
      <c r="J43" s="52">
        <v>81</v>
      </c>
      <c r="K43" s="52" t="s">
        <v>104</v>
      </c>
      <c r="L43" s="52"/>
      <c r="M43" s="52"/>
      <c r="N43" s="52"/>
      <c r="O43" s="52"/>
      <c r="P43" s="52"/>
      <c r="Q43" s="52"/>
      <c r="R43" s="52">
        <v>90</v>
      </c>
      <c r="S43" s="52" t="s">
        <v>104</v>
      </c>
      <c r="T43" s="52">
        <v>110501</v>
      </c>
      <c r="U43" s="52" t="s">
        <v>154</v>
      </c>
      <c r="V43" s="52" t="s">
        <v>96</v>
      </c>
      <c r="W43" s="52"/>
      <c r="X43" s="52" t="s">
        <v>132</v>
      </c>
      <c r="Y43" s="52" t="s">
        <v>133</v>
      </c>
      <c r="Z43" s="53"/>
      <c r="AA43" s="52"/>
      <c r="AB43" s="52"/>
      <c r="AC43" s="52">
        <v>30000000</v>
      </c>
      <c r="AD43" s="52">
        <v>7000000</v>
      </c>
      <c r="AE43" s="52">
        <v>7000000</v>
      </c>
      <c r="AF43" s="52">
        <f t="shared" si="6"/>
        <v>30000000</v>
      </c>
    </row>
    <row r="44" spans="1:32" s="51" customFormat="1">
      <c r="A44" s="49">
        <v>20230401</v>
      </c>
      <c r="B44" s="49">
        <v>20231130</v>
      </c>
      <c r="C44" s="49" t="s">
        <v>94</v>
      </c>
      <c r="D44" s="49" t="s">
        <v>145</v>
      </c>
      <c r="E44" s="49" t="s">
        <v>163</v>
      </c>
      <c r="F44" s="49"/>
      <c r="G44" s="49"/>
      <c r="H44" s="49">
        <v>40</v>
      </c>
      <c r="I44" s="49" t="s">
        <v>102</v>
      </c>
      <c r="J44" s="49">
        <v>81</v>
      </c>
      <c r="K44" s="49" t="s">
        <v>104</v>
      </c>
      <c r="L44" s="49"/>
      <c r="M44" s="49"/>
      <c r="N44" s="49"/>
      <c r="O44" s="49"/>
      <c r="P44" s="49"/>
      <c r="Q44" s="49"/>
      <c r="R44" s="49">
        <v>90</v>
      </c>
      <c r="S44" s="49" t="s">
        <v>104</v>
      </c>
      <c r="T44" s="49">
        <v>110901</v>
      </c>
      <c r="U44" s="49" t="s">
        <v>95</v>
      </c>
      <c r="V44" s="49" t="s">
        <v>97</v>
      </c>
      <c r="W44" s="49" t="s">
        <v>98</v>
      </c>
      <c r="X44" s="49"/>
      <c r="Y44" s="49"/>
      <c r="Z44" s="50"/>
      <c r="AA44" s="49"/>
      <c r="AB44" s="49"/>
      <c r="AC44" s="49">
        <v>20000000</v>
      </c>
      <c r="AD44" s="49">
        <v>8000000</v>
      </c>
      <c r="AE44" s="49">
        <v>6000000</v>
      </c>
      <c r="AF44" s="49">
        <f t="shared" si="1"/>
        <v>22000000</v>
      </c>
    </row>
    <row r="45" spans="1:32" s="51" customFormat="1">
      <c r="A45" s="52">
        <v>20230401</v>
      </c>
      <c r="B45" s="52">
        <v>20231130</v>
      </c>
      <c r="C45" s="52" t="s">
        <v>94</v>
      </c>
      <c r="D45" s="52" t="s">
        <v>144</v>
      </c>
      <c r="E45" s="52" t="s">
        <v>163</v>
      </c>
      <c r="F45" s="52"/>
      <c r="G45" s="52"/>
      <c r="H45" s="52">
        <v>40</v>
      </c>
      <c r="I45" s="52" t="s">
        <v>102</v>
      </c>
      <c r="J45" s="52">
        <v>81</v>
      </c>
      <c r="K45" s="52" t="s">
        <v>104</v>
      </c>
      <c r="L45" s="52"/>
      <c r="M45" s="52"/>
      <c r="N45" s="52"/>
      <c r="O45" s="52"/>
      <c r="P45" s="52"/>
      <c r="Q45" s="52"/>
      <c r="R45" s="52">
        <v>90</v>
      </c>
      <c r="S45" s="52" t="s">
        <v>104</v>
      </c>
      <c r="T45" s="52">
        <v>110901</v>
      </c>
      <c r="U45" s="52" t="s">
        <v>95</v>
      </c>
      <c r="V45" s="52" t="s">
        <v>97</v>
      </c>
      <c r="W45" s="52" t="s">
        <v>98</v>
      </c>
      <c r="X45" s="52" t="s">
        <v>132</v>
      </c>
      <c r="Y45" s="52" t="s">
        <v>133</v>
      </c>
      <c r="Z45" s="53"/>
      <c r="AA45" s="52"/>
      <c r="AB45" s="52"/>
      <c r="AC45" s="52">
        <v>30000000</v>
      </c>
      <c r="AD45" s="52">
        <v>7000000</v>
      </c>
      <c r="AE45" s="52">
        <v>7000000</v>
      </c>
      <c r="AF45" s="52">
        <f t="shared" si="1"/>
        <v>30000000</v>
      </c>
    </row>
    <row r="46" spans="1:32" s="51" customFormat="1">
      <c r="A46" s="49">
        <v>20230401</v>
      </c>
      <c r="B46" s="49">
        <v>20231130</v>
      </c>
      <c r="C46" s="49" t="s">
        <v>94</v>
      </c>
      <c r="D46" s="49" t="s">
        <v>144</v>
      </c>
      <c r="E46" s="49" t="s">
        <v>163</v>
      </c>
      <c r="F46" s="49"/>
      <c r="G46" s="49"/>
      <c r="H46" s="49">
        <v>40</v>
      </c>
      <c r="I46" s="49" t="s">
        <v>102</v>
      </c>
      <c r="J46" s="49">
        <v>81</v>
      </c>
      <c r="K46" s="49" t="s">
        <v>104</v>
      </c>
      <c r="L46" s="49"/>
      <c r="M46" s="49"/>
      <c r="N46" s="49"/>
      <c r="O46" s="49"/>
      <c r="P46" s="49"/>
      <c r="Q46" s="49"/>
      <c r="R46" s="49">
        <v>90</v>
      </c>
      <c r="S46" s="49" t="s">
        <v>104</v>
      </c>
      <c r="T46" s="49">
        <v>110901</v>
      </c>
      <c r="U46" s="49" t="s">
        <v>95</v>
      </c>
      <c r="V46" s="49" t="s">
        <v>97</v>
      </c>
      <c r="W46" s="49" t="s">
        <v>98</v>
      </c>
      <c r="X46" s="49" t="s">
        <v>132</v>
      </c>
      <c r="Y46" s="49" t="s">
        <v>133</v>
      </c>
      <c r="Z46" s="50" t="s">
        <v>99</v>
      </c>
      <c r="AA46" s="49" t="s">
        <v>100</v>
      </c>
      <c r="AB46" s="49"/>
      <c r="AC46" s="49">
        <v>40000000</v>
      </c>
      <c r="AD46" s="49"/>
      <c r="AE46" s="49">
        <v>40000000</v>
      </c>
      <c r="AF46" s="49"/>
    </row>
    <row r="47" spans="1:32" s="51" customFormat="1">
      <c r="A47" s="52">
        <v>20230401</v>
      </c>
      <c r="B47" s="52">
        <v>20231130</v>
      </c>
      <c r="C47" s="52" t="s">
        <v>94</v>
      </c>
      <c r="D47" s="52" t="s">
        <v>144</v>
      </c>
      <c r="E47" s="52" t="s">
        <v>163</v>
      </c>
      <c r="F47" s="52"/>
      <c r="G47" s="52"/>
      <c r="H47" s="52">
        <v>40</v>
      </c>
      <c r="I47" s="52" t="s">
        <v>102</v>
      </c>
      <c r="J47" s="52">
        <v>81</v>
      </c>
      <c r="K47" s="52" t="s">
        <v>104</v>
      </c>
      <c r="L47" s="52"/>
      <c r="M47" s="52"/>
      <c r="N47" s="52"/>
      <c r="O47" s="52"/>
      <c r="P47" s="52"/>
      <c r="Q47" s="52"/>
      <c r="R47" s="52">
        <v>90</v>
      </c>
      <c r="S47" s="52" t="s">
        <v>104</v>
      </c>
      <c r="T47" s="52">
        <v>110901</v>
      </c>
      <c r="U47" s="52" t="s">
        <v>95</v>
      </c>
      <c r="V47" s="52" t="s">
        <v>97</v>
      </c>
      <c r="W47" s="52" t="s">
        <v>98</v>
      </c>
      <c r="X47" s="53">
        <v>300089008</v>
      </c>
      <c r="Y47" s="52" t="s">
        <v>153</v>
      </c>
      <c r="Z47" s="53"/>
      <c r="AA47" s="52"/>
      <c r="AB47" s="52"/>
      <c r="AC47" s="52">
        <v>30000000</v>
      </c>
      <c r="AD47" s="52">
        <v>7000000</v>
      </c>
      <c r="AE47" s="52">
        <v>4000000</v>
      </c>
      <c r="AF47" s="52">
        <f t="shared" si="1"/>
        <v>33000000</v>
      </c>
    </row>
    <row r="48" spans="1:32" s="51" customFormat="1">
      <c r="A48" s="49">
        <v>20230401</v>
      </c>
      <c r="B48" s="49">
        <v>20231130</v>
      </c>
      <c r="C48" s="49" t="s">
        <v>94</v>
      </c>
      <c r="D48" s="49" t="s">
        <v>144</v>
      </c>
      <c r="E48" s="49" t="s">
        <v>163</v>
      </c>
      <c r="F48" s="49"/>
      <c r="G48" s="49"/>
      <c r="H48" s="49">
        <v>40</v>
      </c>
      <c r="I48" s="49" t="s">
        <v>102</v>
      </c>
      <c r="J48" s="49">
        <v>81</v>
      </c>
      <c r="K48" s="49" t="s">
        <v>104</v>
      </c>
      <c r="L48" s="49"/>
      <c r="M48" s="49"/>
      <c r="N48" s="49"/>
      <c r="O48" s="49"/>
      <c r="P48" s="49"/>
      <c r="Q48" s="49"/>
      <c r="R48" s="49">
        <v>90</v>
      </c>
      <c r="S48" s="49" t="s">
        <v>104</v>
      </c>
      <c r="T48" s="49">
        <v>110901</v>
      </c>
      <c r="U48" s="49" t="s">
        <v>95</v>
      </c>
      <c r="V48" s="49" t="s">
        <v>97</v>
      </c>
      <c r="W48" s="49" t="s">
        <v>98</v>
      </c>
      <c r="X48" s="50">
        <v>300089008</v>
      </c>
      <c r="Y48" s="49" t="s">
        <v>153</v>
      </c>
      <c r="Z48" s="50" t="s">
        <v>99</v>
      </c>
      <c r="AA48" s="49" t="s">
        <v>100</v>
      </c>
      <c r="AB48" s="49"/>
      <c r="AC48" s="49">
        <v>1000000</v>
      </c>
      <c r="AD48" s="49">
        <v>2000000</v>
      </c>
      <c r="AE48" s="49">
        <v>4000000</v>
      </c>
      <c r="AF48" s="49">
        <f t="shared" ref="AF48" si="7">AD48-AE48+AC48</f>
        <v>-1000000</v>
      </c>
    </row>
    <row r="49" spans="1:32" s="51" customFormat="1">
      <c r="A49" s="52">
        <v>20230401</v>
      </c>
      <c r="B49" s="52">
        <v>20231130</v>
      </c>
      <c r="C49" s="52" t="s">
        <v>94</v>
      </c>
      <c r="D49" s="52" t="s">
        <v>144</v>
      </c>
      <c r="E49" s="52" t="s">
        <v>163</v>
      </c>
      <c r="F49" s="52"/>
      <c r="G49" s="52"/>
      <c r="H49" s="52">
        <v>40</v>
      </c>
      <c r="I49" s="52" t="s">
        <v>102</v>
      </c>
      <c r="J49" s="52">
        <v>81</v>
      </c>
      <c r="K49" s="52" t="s">
        <v>104</v>
      </c>
      <c r="L49" s="52"/>
      <c r="M49" s="52"/>
      <c r="N49" s="52"/>
      <c r="O49" s="52"/>
      <c r="P49" s="52"/>
      <c r="Q49" s="52"/>
      <c r="R49" s="52">
        <v>90</v>
      </c>
      <c r="S49" s="52" t="s">
        <v>104</v>
      </c>
      <c r="T49" s="52">
        <v>110902</v>
      </c>
      <c r="U49" s="52" t="s">
        <v>101</v>
      </c>
      <c r="V49" s="52" t="s">
        <v>97</v>
      </c>
      <c r="W49" s="52" t="s">
        <v>98</v>
      </c>
      <c r="X49" s="52"/>
      <c r="Y49" s="52"/>
      <c r="Z49" s="53"/>
      <c r="AA49" s="52"/>
      <c r="AB49" s="52"/>
      <c r="AC49" s="52">
        <v>60000000</v>
      </c>
      <c r="AD49" s="52">
        <v>4000000</v>
      </c>
      <c r="AE49" s="52">
        <v>2000000</v>
      </c>
      <c r="AF49" s="52">
        <f t="shared" si="1"/>
        <v>62000000</v>
      </c>
    </row>
    <row r="50" spans="1:32" s="51" customFormat="1">
      <c r="A50" s="49">
        <v>20230401</v>
      </c>
      <c r="B50" s="49">
        <v>20231130</v>
      </c>
      <c r="C50" s="49" t="s">
        <v>94</v>
      </c>
      <c r="D50" s="49" t="s">
        <v>144</v>
      </c>
      <c r="E50" s="49" t="s">
        <v>163</v>
      </c>
      <c r="F50" s="49"/>
      <c r="G50" s="49"/>
      <c r="H50" s="49">
        <v>40</v>
      </c>
      <c r="I50" s="49" t="s">
        <v>102</v>
      </c>
      <c r="J50" s="49">
        <v>81</v>
      </c>
      <c r="K50" s="49" t="s">
        <v>104</v>
      </c>
      <c r="L50" s="49"/>
      <c r="M50" s="49"/>
      <c r="N50" s="49"/>
      <c r="O50" s="49"/>
      <c r="P50" s="49"/>
      <c r="Q50" s="49"/>
      <c r="R50" s="49">
        <v>90</v>
      </c>
      <c r="S50" s="49" t="s">
        <v>104</v>
      </c>
      <c r="T50" s="49">
        <v>110902</v>
      </c>
      <c r="U50" s="49" t="s">
        <v>101</v>
      </c>
      <c r="V50" s="49" t="s">
        <v>97</v>
      </c>
      <c r="W50" s="49" t="s">
        <v>98</v>
      </c>
      <c r="X50" s="49" t="s">
        <v>132</v>
      </c>
      <c r="Y50" s="49" t="s">
        <v>133</v>
      </c>
      <c r="Z50" s="50"/>
      <c r="AA50" s="49"/>
      <c r="AB50" s="49"/>
      <c r="AC50" s="49">
        <v>70000000</v>
      </c>
      <c r="AD50" s="49">
        <v>3000000</v>
      </c>
      <c r="AE50" s="49">
        <v>7000000</v>
      </c>
      <c r="AF50" s="49">
        <f t="shared" si="1"/>
        <v>66000000</v>
      </c>
    </row>
    <row r="51" spans="1:32" s="51" customFormat="1">
      <c r="A51" s="52">
        <v>20230401</v>
      </c>
      <c r="B51" s="52">
        <v>20231130</v>
      </c>
      <c r="C51" s="52" t="s">
        <v>94</v>
      </c>
      <c r="D51" s="52" t="s">
        <v>144</v>
      </c>
      <c r="E51" s="52" t="s">
        <v>163</v>
      </c>
      <c r="F51" s="52"/>
      <c r="G51" s="52"/>
      <c r="H51" s="52">
        <v>40</v>
      </c>
      <c r="I51" s="52" t="s">
        <v>102</v>
      </c>
      <c r="J51" s="52">
        <v>81</v>
      </c>
      <c r="K51" s="52" t="s">
        <v>104</v>
      </c>
      <c r="L51" s="52"/>
      <c r="M51" s="52"/>
      <c r="N51" s="52"/>
      <c r="O51" s="52"/>
      <c r="P51" s="52"/>
      <c r="Q51" s="52"/>
      <c r="R51" s="52">
        <v>90</v>
      </c>
      <c r="S51" s="52" t="s">
        <v>104</v>
      </c>
      <c r="T51" s="52">
        <v>110902</v>
      </c>
      <c r="U51" s="52" t="s">
        <v>101</v>
      </c>
      <c r="V51" s="52" t="s">
        <v>97</v>
      </c>
      <c r="W51" s="52" t="s">
        <v>98</v>
      </c>
      <c r="X51" s="52" t="s">
        <v>132</v>
      </c>
      <c r="Y51" s="52" t="s">
        <v>133</v>
      </c>
      <c r="Z51" s="53">
        <v>10002</v>
      </c>
      <c r="AA51" s="52" t="s">
        <v>103</v>
      </c>
      <c r="AB51" s="52"/>
      <c r="AC51" s="52">
        <v>80000000</v>
      </c>
      <c r="AD51" s="52">
        <v>2000000</v>
      </c>
      <c r="AE51" s="52">
        <v>6000000</v>
      </c>
      <c r="AF51" s="52">
        <f t="shared" si="1"/>
        <v>76000000</v>
      </c>
    </row>
    <row r="52" spans="1:32" s="51" customFormat="1">
      <c r="V52" s="54"/>
      <c r="Z52" s="55"/>
    </row>
    <row r="53" spans="1:32">
      <c r="A53" s="32" t="s">
        <v>105</v>
      </c>
      <c r="Z53" s="56"/>
    </row>
    <row r="54" spans="1:32" ht="26.4">
      <c r="A54" s="48" t="s">
        <v>74</v>
      </c>
      <c r="B54" s="48" t="s">
        <v>75</v>
      </c>
      <c r="C54" s="48" t="s">
        <v>76</v>
      </c>
      <c r="D54" s="48" t="s">
        <v>138</v>
      </c>
      <c r="E54" s="48" t="s">
        <v>139</v>
      </c>
      <c r="F54" s="48" t="s">
        <v>77</v>
      </c>
      <c r="G54" s="48" t="s">
        <v>78</v>
      </c>
      <c r="H54" s="48" t="s">
        <v>79</v>
      </c>
      <c r="I54" s="48" t="s">
        <v>80</v>
      </c>
      <c r="J54" s="48" t="s">
        <v>81</v>
      </c>
      <c r="K54" s="48" t="s">
        <v>82</v>
      </c>
      <c r="L54" s="34" t="s">
        <v>155</v>
      </c>
      <c r="M54" s="34" t="s">
        <v>156</v>
      </c>
      <c r="N54" s="34" t="s">
        <v>157</v>
      </c>
      <c r="O54" s="34" t="s">
        <v>158</v>
      </c>
      <c r="P54" s="34" t="s">
        <v>159</v>
      </c>
      <c r="Q54" s="34" t="s">
        <v>160</v>
      </c>
      <c r="R54" s="48" t="s">
        <v>83</v>
      </c>
      <c r="S54" s="48" t="s">
        <v>84</v>
      </c>
      <c r="T54" s="48" t="s">
        <v>85</v>
      </c>
      <c r="U54" s="48" t="s">
        <v>86</v>
      </c>
      <c r="V54" s="48" t="s">
        <v>113</v>
      </c>
      <c r="W54" s="48" t="s">
        <v>131</v>
      </c>
      <c r="X54" s="48" t="s">
        <v>109</v>
      </c>
      <c r="Y54" s="48" t="s">
        <v>110</v>
      </c>
      <c r="Z54" s="58" t="s">
        <v>87</v>
      </c>
      <c r="AA54" s="48" t="s">
        <v>88</v>
      </c>
      <c r="AB54" s="48" t="s">
        <v>89</v>
      </c>
      <c r="AC54" s="48" t="s">
        <v>90</v>
      </c>
      <c r="AD54" s="48" t="s">
        <v>91</v>
      </c>
      <c r="AE54" s="48" t="s">
        <v>92</v>
      </c>
      <c r="AF54" s="48" t="s">
        <v>93</v>
      </c>
    </row>
    <row r="55" spans="1:32">
      <c r="A55" s="59">
        <v>20230401</v>
      </c>
      <c r="B55" s="59">
        <v>20231130</v>
      </c>
      <c r="C55" s="59" t="s">
        <v>94</v>
      </c>
      <c r="D55" s="59" t="s">
        <v>147</v>
      </c>
      <c r="E55" s="59" t="s">
        <v>148</v>
      </c>
      <c r="F55" s="59">
        <v>90</v>
      </c>
      <c r="G55" s="59" t="s">
        <v>107</v>
      </c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49">
        <v>110501</v>
      </c>
      <c r="U55" s="49" t="s">
        <v>154</v>
      </c>
      <c r="V55" s="49" t="s">
        <v>96</v>
      </c>
      <c r="W55" s="49" t="s">
        <v>98</v>
      </c>
      <c r="X55" s="59"/>
      <c r="Y55" s="59"/>
      <c r="Z55" s="60"/>
      <c r="AA55" s="59"/>
      <c r="AB55" s="59"/>
      <c r="AC55" s="49">
        <v>20000000</v>
      </c>
      <c r="AD55" s="49">
        <v>8000000</v>
      </c>
      <c r="AE55" s="49">
        <v>7000000</v>
      </c>
      <c r="AF55" s="49">
        <f t="shared" ref="AF55:AF56" si="8">AD55-AE55+AC55</f>
        <v>21000000</v>
      </c>
    </row>
    <row r="56" spans="1:32">
      <c r="A56" s="52">
        <v>20230401</v>
      </c>
      <c r="B56" s="52">
        <v>20231130</v>
      </c>
      <c r="C56" s="52" t="s">
        <v>94</v>
      </c>
      <c r="D56" s="52" t="s">
        <v>146</v>
      </c>
      <c r="E56" s="52" t="s">
        <v>148</v>
      </c>
      <c r="F56" s="52">
        <v>90</v>
      </c>
      <c r="G56" s="52" t="s">
        <v>107</v>
      </c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>
        <v>110501</v>
      </c>
      <c r="U56" s="52" t="s">
        <v>154</v>
      </c>
      <c r="V56" s="52" t="s">
        <v>96</v>
      </c>
      <c r="W56" s="52" t="s">
        <v>98</v>
      </c>
      <c r="X56" s="52" t="s">
        <v>132</v>
      </c>
      <c r="Y56" s="52" t="s">
        <v>133</v>
      </c>
      <c r="Z56" s="53"/>
      <c r="AA56" s="52"/>
      <c r="AB56" s="52"/>
      <c r="AC56" s="52">
        <v>30000000</v>
      </c>
      <c r="AD56" s="52">
        <v>7000000</v>
      </c>
      <c r="AE56" s="52">
        <v>6000000</v>
      </c>
      <c r="AF56" s="52">
        <f t="shared" si="8"/>
        <v>31000000</v>
      </c>
    </row>
    <row r="57" spans="1:32">
      <c r="A57" s="59">
        <v>20230401</v>
      </c>
      <c r="B57" s="59">
        <v>20231130</v>
      </c>
      <c r="C57" s="59" t="s">
        <v>94</v>
      </c>
      <c r="D57" s="59" t="s">
        <v>147</v>
      </c>
      <c r="E57" s="59" t="s">
        <v>148</v>
      </c>
      <c r="F57" s="59">
        <v>90</v>
      </c>
      <c r="G57" s="59" t="s">
        <v>107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49">
        <v>110901</v>
      </c>
      <c r="U57" s="49" t="s">
        <v>95</v>
      </c>
      <c r="V57" s="49" t="s">
        <v>97</v>
      </c>
      <c r="W57" s="49" t="s">
        <v>98</v>
      </c>
      <c r="X57" s="59"/>
      <c r="Y57" s="59"/>
      <c r="Z57" s="60"/>
      <c r="AA57" s="59"/>
      <c r="AB57" s="59"/>
      <c r="AC57" s="49">
        <v>20000000</v>
      </c>
      <c r="AD57" s="49">
        <v>8000000</v>
      </c>
      <c r="AE57" s="49">
        <v>7000000</v>
      </c>
      <c r="AF57" s="49">
        <f t="shared" ref="AF57:AF94" si="9">AD57-AE57+AC57</f>
        <v>21000000</v>
      </c>
    </row>
    <row r="58" spans="1:32">
      <c r="A58" s="52">
        <v>20230401</v>
      </c>
      <c r="B58" s="52">
        <v>20231130</v>
      </c>
      <c r="C58" s="52" t="s">
        <v>94</v>
      </c>
      <c r="D58" s="52" t="s">
        <v>146</v>
      </c>
      <c r="E58" s="52" t="s">
        <v>148</v>
      </c>
      <c r="F58" s="52">
        <v>90</v>
      </c>
      <c r="G58" s="52" t="s">
        <v>107</v>
      </c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>
        <v>110901</v>
      </c>
      <c r="U58" s="52" t="s">
        <v>95</v>
      </c>
      <c r="V58" s="52" t="s">
        <v>97</v>
      </c>
      <c r="W58" s="52" t="s">
        <v>98</v>
      </c>
      <c r="X58" s="52" t="s">
        <v>132</v>
      </c>
      <c r="Y58" s="52" t="s">
        <v>133</v>
      </c>
      <c r="Z58" s="53"/>
      <c r="AA58" s="52"/>
      <c r="AB58" s="52"/>
      <c r="AC58" s="52">
        <v>30000000</v>
      </c>
      <c r="AD58" s="52">
        <v>7000000</v>
      </c>
      <c r="AE58" s="52">
        <v>6000000</v>
      </c>
      <c r="AF58" s="52">
        <f t="shared" si="9"/>
        <v>31000000</v>
      </c>
    </row>
    <row r="59" spans="1:32">
      <c r="A59" s="49">
        <v>20230401</v>
      </c>
      <c r="B59" s="49">
        <v>20231130</v>
      </c>
      <c r="C59" s="49" t="s">
        <v>94</v>
      </c>
      <c r="D59" s="49" t="s">
        <v>146</v>
      </c>
      <c r="E59" s="49" t="s">
        <v>148</v>
      </c>
      <c r="F59" s="49">
        <v>90</v>
      </c>
      <c r="G59" s="49" t="s">
        <v>107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>
        <v>110901</v>
      </c>
      <c r="U59" s="49" t="s">
        <v>95</v>
      </c>
      <c r="V59" s="49" t="s">
        <v>97</v>
      </c>
      <c r="W59" s="49" t="s">
        <v>98</v>
      </c>
      <c r="X59" s="49" t="s">
        <v>132</v>
      </c>
      <c r="Y59" s="49" t="s">
        <v>133</v>
      </c>
      <c r="Z59" s="50" t="s">
        <v>99</v>
      </c>
      <c r="AA59" s="49" t="s">
        <v>100</v>
      </c>
      <c r="AB59" s="59"/>
      <c r="AC59" s="49">
        <v>40000000</v>
      </c>
      <c r="AD59" s="49"/>
      <c r="AE59" s="49">
        <v>40000000</v>
      </c>
      <c r="AF59" s="49"/>
    </row>
    <row r="60" spans="1:32">
      <c r="A60" s="52">
        <v>20230401</v>
      </c>
      <c r="B60" s="52">
        <v>20231130</v>
      </c>
      <c r="C60" s="52" t="s">
        <v>94</v>
      </c>
      <c r="D60" s="52" t="s">
        <v>146</v>
      </c>
      <c r="E60" s="52" t="s">
        <v>148</v>
      </c>
      <c r="F60" s="52">
        <v>90</v>
      </c>
      <c r="G60" s="52" t="s">
        <v>107</v>
      </c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>
        <v>110901</v>
      </c>
      <c r="U60" s="52" t="s">
        <v>95</v>
      </c>
      <c r="V60" s="52" t="s">
        <v>97</v>
      </c>
      <c r="W60" s="52" t="s">
        <v>98</v>
      </c>
      <c r="X60" s="53">
        <v>300089008</v>
      </c>
      <c r="Y60" s="52" t="s">
        <v>153</v>
      </c>
      <c r="Z60" s="53"/>
      <c r="AA60" s="52"/>
      <c r="AB60" s="52"/>
      <c r="AC60" s="52">
        <v>30000000</v>
      </c>
      <c r="AD60" s="52">
        <v>7000000</v>
      </c>
      <c r="AE60" s="52">
        <v>6000000</v>
      </c>
      <c r="AF60" s="52">
        <f t="shared" si="9"/>
        <v>31000000</v>
      </c>
    </row>
    <row r="61" spans="1:32">
      <c r="A61" s="49">
        <v>20230401</v>
      </c>
      <c r="B61" s="49">
        <v>20231130</v>
      </c>
      <c r="C61" s="49" t="s">
        <v>94</v>
      </c>
      <c r="D61" s="49" t="s">
        <v>146</v>
      </c>
      <c r="E61" s="49" t="s">
        <v>148</v>
      </c>
      <c r="F61" s="49">
        <v>90</v>
      </c>
      <c r="G61" s="49" t="s">
        <v>107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>
        <v>110901</v>
      </c>
      <c r="U61" s="49" t="s">
        <v>95</v>
      </c>
      <c r="V61" s="49" t="s">
        <v>97</v>
      </c>
      <c r="W61" s="49" t="s">
        <v>98</v>
      </c>
      <c r="X61" s="50">
        <v>300089008</v>
      </c>
      <c r="Y61" s="49" t="s">
        <v>153</v>
      </c>
      <c r="Z61" s="50" t="s">
        <v>99</v>
      </c>
      <c r="AA61" s="49" t="s">
        <v>100</v>
      </c>
      <c r="AB61" s="59"/>
      <c r="AC61" s="49">
        <v>1000000</v>
      </c>
      <c r="AD61" s="49">
        <v>2000000</v>
      </c>
      <c r="AE61" s="49">
        <v>4000000</v>
      </c>
      <c r="AF61" s="49">
        <f t="shared" si="9"/>
        <v>-1000000</v>
      </c>
    </row>
    <row r="62" spans="1:32">
      <c r="A62" s="52">
        <v>20230401</v>
      </c>
      <c r="B62" s="52">
        <v>20231130</v>
      </c>
      <c r="C62" s="52" t="s">
        <v>94</v>
      </c>
      <c r="D62" s="52" t="s">
        <v>146</v>
      </c>
      <c r="E62" s="52" t="s">
        <v>148</v>
      </c>
      <c r="F62" s="52">
        <v>90</v>
      </c>
      <c r="G62" s="52" t="s">
        <v>107</v>
      </c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>
        <v>110902</v>
      </c>
      <c r="U62" s="52" t="s">
        <v>101</v>
      </c>
      <c r="V62" s="52" t="s">
        <v>97</v>
      </c>
      <c r="W62" s="52" t="s">
        <v>98</v>
      </c>
      <c r="X62" s="52"/>
      <c r="Y62" s="52"/>
      <c r="Z62" s="53"/>
      <c r="AA62" s="52"/>
      <c r="AB62" s="52"/>
      <c r="AC62" s="52">
        <v>60000000</v>
      </c>
      <c r="AD62" s="52">
        <v>4000000</v>
      </c>
      <c r="AE62" s="52">
        <v>3000000</v>
      </c>
      <c r="AF62" s="52">
        <f t="shared" si="9"/>
        <v>61000000</v>
      </c>
    </row>
    <row r="63" spans="1:32">
      <c r="A63" s="49">
        <v>20230401</v>
      </c>
      <c r="B63" s="49">
        <v>20231130</v>
      </c>
      <c r="C63" s="49" t="s">
        <v>94</v>
      </c>
      <c r="D63" s="49" t="s">
        <v>146</v>
      </c>
      <c r="E63" s="49" t="s">
        <v>148</v>
      </c>
      <c r="F63" s="49">
        <v>90</v>
      </c>
      <c r="G63" s="49" t="s">
        <v>107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>
        <v>110902</v>
      </c>
      <c r="U63" s="49" t="s">
        <v>101</v>
      </c>
      <c r="V63" s="49" t="s">
        <v>97</v>
      </c>
      <c r="W63" s="49" t="s">
        <v>98</v>
      </c>
      <c r="X63" s="49" t="s">
        <v>132</v>
      </c>
      <c r="Y63" s="49" t="s">
        <v>133</v>
      </c>
      <c r="Z63" s="50"/>
      <c r="AA63" s="49"/>
      <c r="AB63" s="59"/>
      <c r="AC63" s="49">
        <v>70000000</v>
      </c>
      <c r="AD63" s="49">
        <v>3000000</v>
      </c>
      <c r="AE63" s="49">
        <v>2000000</v>
      </c>
      <c r="AF63" s="49">
        <f t="shared" si="9"/>
        <v>71000000</v>
      </c>
    </row>
    <row r="64" spans="1:32">
      <c r="A64" s="52">
        <v>20230401</v>
      </c>
      <c r="B64" s="52">
        <v>20231130</v>
      </c>
      <c r="C64" s="52" t="s">
        <v>94</v>
      </c>
      <c r="D64" s="52" t="s">
        <v>146</v>
      </c>
      <c r="E64" s="52" t="s">
        <v>148</v>
      </c>
      <c r="F64" s="52">
        <v>90</v>
      </c>
      <c r="G64" s="52" t="s">
        <v>107</v>
      </c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>
        <v>110902</v>
      </c>
      <c r="U64" s="52" t="s">
        <v>101</v>
      </c>
      <c r="V64" s="52" t="s">
        <v>97</v>
      </c>
      <c r="W64" s="52" t="s">
        <v>98</v>
      </c>
      <c r="X64" s="52" t="s">
        <v>132</v>
      </c>
      <c r="Y64" s="52" t="s">
        <v>133</v>
      </c>
      <c r="Z64" s="53">
        <v>10002</v>
      </c>
      <c r="AA64" s="52" t="s">
        <v>103</v>
      </c>
      <c r="AB64" s="52"/>
      <c r="AC64" s="52">
        <v>80000000</v>
      </c>
      <c r="AD64" s="52">
        <v>2000000</v>
      </c>
      <c r="AE64" s="52">
        <v>8000000</v>
      </c>
      <c r="AF64" s="52">
        <f t="shared" si="9"/>
        <v>74000000</v>
      </c>
    </row>
    <row r="65" spans="1:32">
      <c r="A65" s="49">
        <v>20230401</v>
      </c>
      <c r="B65" s="49">
        <v>20231130</v>
      </c>
      <c r="C65" s="49" t="s">
        <v>94</v>
      </c>
      <c r="D65" s="49" t="s">
        <v>141</v>
      </c>
      <c r="E65" s="49" t="s">
        <v>161</v>
      </c>
      <c r="F65" s="49">
        <v>90</v>
      </c>
      <c r="G65" s="49" t="s">
        <v>107</v>
      </c>
      <c r="H65" s="49">
        <v>40</v>
      </c>
      <c r="I65" s="49" t="s">
        <v>102</v>
      </c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>
        <v>110501</v>
      </c>
      <c r="U65" s="49" t="s">
        <v>154</v>
      </c>
      <c r="V65" s="49" t="s">
        <v>96</v>
      </c>
      <c r="W65" s="49" t="s">
        <v>98</v>
      </c>
      <c r="X65" s="49"/>
      <c r="Y65" s="49"/>
      <c r="Z65" s="50"/>
      <c r="AA65" s="49"/>
      <c r="AB65" s="59"/>
      <c r="AC65" s="49">
        <v>20000000</v>
      </c>
      <c r="AD65" s="49">
        <v>8000000</v>
      </c>
      <c r="AE65" s="49">
        <v>7000000</v>
      </c>
      <c r="AF65" s="49">
        <f t="shared" ref="AF65:AF66" si="10">AD65-AE65+AC65</f>
        <v>21000000</v>
      </c>
    </row>
    <row r="66" spans="1:32">
      <c r="A66" s="52">
        <v>20230401</v>
      </c>
      <c r="B66" s="52">
        <v>20231130</v>
      </c>
      <c r="C66" s="52" t="s">
        <v>94</v>
      </c>
      <c r="D66" s="52" t="s">
        <v>140</v>
      </c>
      <c r="E66" s="52" t="s">
        <v>161</v>
      </c>
      <c r="F66" s="52">
        <v>90</v>
      </c>
      <c r="G66" s="52" t="s">
        <v>107</v>
      </c>
      <c r="H66" s="52">
        <v>40</v>
      </c>
      <c r="I66" s="52" t="s">
        <v>102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>
        <v>110501</v>
      </c>
      <c r="U66" s="52" t="s">
        <v>154</v>
      </c>
      <c r="V66" s="52" t="s">
        <v>96</v>
      </c>
      <c r="W66" s="52" t="s">
        <v>98</v>
      </c>
      <c r="X66" s="52" t="s">
        <v>132</v>
      </c>
      <c r="Y66" s="52" t="s">
        <v>133</v>
      </c>
      <c r="Z66" s="53"/>
      <c r="AA66" s="52"/>
      <c r="AB66" s="52"/>
      <c r="AC66" s="52">
        <v>30000000</v>
      </c>
      <c r="AD66" s="52">
        <v>7000000</v>
      </c>
      <c r="AE66" s="52">
        <v>6000000</v>
      </c>
      <c r="AF66" s="52">
        <f t="shared" si="10"/>
        <v>31000000</v>
      </c>
    </row>
    <row r="67" spans="1:32">
      <c r="A67" s="49">
        <v>20230401</v>
      </c>
      <c r="B67" s="49">
        <v>20231130</v>
      </c>
      <c r="C67" s="49" t="s">
        <v>94</v>
      </c>
      <c r="D67" s="49" t="s">
        <v>141</v>
      </c>
      <c r="E67" s="49" t="s">
        <v>161</v>
      </c>
      <c r="F67" s="49">
        <v>90</v>
      </c>
      <c r="G67" s="49" t="s">
        <v>107</v>
      </c>
      <c r="H67" s="49">
        <v>40</v>
      </c>
      <c r="I67" s="49" t="s">
        <v>102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>
        <v>110901</v>
      </c>
      <c r="U67" s="49" t="s">
        <v>95</v>
      </c>
      <c r="V67" s="49" t="s">
        <v>97</v>
      </c>
      <c r="W67" s="49" t="s">
        <v>98</v>
      </c>
      <c r="X67" s="49"/>
      <c r="Y67" s="49"/>
      <c r="Z67" s="50"/>
      <c r="AA67" s="49"/>
      <c r="AB67" s="59"/>
      <c r="AC67" s="49">
        <v>20000000</v>
      </c>
      <c r="AD67" s="49">
        <v>8000000</v>
      </c>
      <c r="AE67" s="49">
        <v>7000000</v>
      </c>
      <c r="AF67" s="49">
        <f t="shared" si="9"/>
        <v>21000000</v>
      </c>
    </row>
    <row r="68" spans="1:32">
      <c r="A68" s="52">
        <v>20230401</v>
      </c>
      <c r="B68" s="52">
        <v>20231130</v>
      </c>
      <c r="C68" s="52" t="s">
        <v>94</v>
      </c>
      <c r="D68" s="52" t="s">
        <v>140</v>
      </c>
      <c r="E68" s="52" t="s">
        <v>161</v>
      </c>
      <c r="F68" s="52">
        <v>90</v>
      </c>
      <c r="G68" s="52" t="s">
        <v>107</v>
      </c>
      <c r="H68" s="52">
        <v>40</v>
      </c>
      <c r="I68" s="52" t="s">
        <v>102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>
        <v>110901</v>
      </c>
      <c r="U68" s="52" t="s">
        <v>95</v>
      </c>
      <c r="V68" s="52" t="s">
        <v>97</v>
      </c>
      <c r="W68" s="52" t="s">
        <v>98</v>
      </c>
      <c r="X68" s="52" t="s">
        <v>132</v>
      </c>
      <c r="Y68" s="52" t="s">
        <v>133</v>
      </c>
      <c r="Z68" s="53"/>
      <c r="AA68" s="52"/>
      <c r="AB68" s="52"/>
      <c r="AC68" s="52">
        <v>30000000</v>
      </c>
      <c r="AD68" s="52">
        <v>7000000</v>
      </c>
      <c r="AE68" s="52">
        <v>6000000</v>
      </c>
      <c r="AF68" s="52">
        <f t="shared" si="9"/>
        <v>31000000</v>
      </c>
    </row>
    <row r="69" spans="1:32">
      <c r="A69" s="49">
        <v>20230401</v>
      </c>
      <c r="B69" s="49">
        <v>20231130</v>
      </c>
      <c r="C69" s="49" t="s">
        <v>94</v>
      </c>
      <c r="D69" s="49" t="s">
        <v>140</v>
      </c>
      <c r="E69" s="49" t="s">
        <v>161</v>
      </c>
      <c r="F69" s="49">
        <v>90</v>
      </c>
      <c r="G69" s="49" t="s">
        <v>107</v>
      </c>
      <c r="H69" s="49">
        <v>40</v>
      </c>
      <c r="I69" s="49" t="s">
        <v>102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>
        <v>110901</v>
      </c>
      <c r="U69" s="49" t="s">
        <v>95</v>
      </c>
      <c r="V69" s="49" t="s">
        <v>97</v>
      </c>
      <c r="W69" s="49" t="s">
        <v>98</v>
      </c>
      <c r="X69" s="49" t="s">
        <v>132</v>
      </c>
      <c r="Y69" s="49" t="s">
        <v>133</v>
      </c>
      <c r="Z69" s="50" t="s">
        <v>99</v>
      </c>
      <c r="AA69" s="49" t="s">
        <v>100</v>
      </c>
      <c r="AB69" s="59"/>
      <c r="AC69" s="49">
        <v>40000000</v>
      </c>
      <c r="AD69" s="49"/>
      <c r="AE69" s="49">
        <v>40000000</v>
      </c>
      <c r="AF69" s="49"/>
    </row>
    <row r="70" spans="1:32">
      <c r="A70" s="52">
        <v>20230401</v>
      </c>
      <c r="B70" s="52">
        <v>20231130</v>
      </c>
      <c r="C70" s="52" t="s">
        <v>94</v>
      </c>
      <c r="D70" s="52" t="s">
        <v>140</v>
      </c>
      <c r="E70" s="52" t="s">
        <v>161</v>
      </c>
      <c r="F70" s="52">
        <v>90</v>
      </c>
      <c r="G70" s="52" t="s">
        <v>107</v>
      </c>
      <c r="H70" s="52">
        <v>40</v>
      </c>
      <c r="I70" s="52" t="s">
        <v>102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>
        <v>110901</v>
      </c>
      <c r="U70" s="52" t="s">
        <v>95</v>
      </c>
      <c r="V70" s="52" t="s">
        <v>97</v>
      </c>
      <c r="W70" s="52" t="s">
        <v>98</v>
      </c>
      <c r="X70" s="53">
        <v>300089008</v>
      </c>
      <c r="Y70" s="52" t="s">
        <v>153</v>
      </c>
      <c r="Z70" s="53"/>
      <c r="AA70" s="52"/>
      <c r="AB70" s="52"/>
      <c r="AC70" s="52">
        <v>30000000</v>
      </c>
      <c r="AD70" s="52">
        <v>7000000</v>
      </c>
      <c r="AE70" s="52">
        <v>6000000</v>
      </c>
      <c r="AF70" s="52">
        <f t="shared" si="9"/>
        <v>31000000</v>
      </c>
    </row>
    <row r="71" spans="1:32">
      <c r="A71" s="49">
        <v>20230401</v>
      </c>
      <c r="B71" s="49">
        <v>20231130</v>
      </c>
      <c r="C71" s="49" t="s">
        <v>94</v>
      </c>
      <c r="D71" s="49" t="s">
        <v>140</v>
      </c>
      <c r="E71" s="49" t="s">
        <v>161</v>
      </c>
      <c r="F71" s="49">
        <v>90</v>
      </c>
      <c r="G71" s="49" t="s">
        <v>107</v>
      </c>
      <c r="H71" s="49">
        <v>40</v>
      </c>
      <c r="I71" s="49" t="s">
        <v>102</v>
      </c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>
        <v>110901</v>
      </c>
      <c r="U71" s="49" t="s">
        <v>95</v>
      </c>
      <c r="V71" s="49" t="s">
        <v>97</v>
      </c>
      <c r="W71" s="49" t="s">
        <v>98</v>
      </c>
      <c r="X71" s="50">
        <v>300089008</v>
      </c>
      <c r="Y71" s="49" t="s">
        <v>153</v>
      </c>
      <c r="Z71" s="50" t="s">
        <v>99</v>
      </c>
      <c r="AA71" s="49" t="s">
        <v>100</v>
      </c>
      <c r="AB71" s="59"/>
      <c r="AC71" s="49">
        <v>1000000</v>
      </c>
      <c r="AD71" s="49">
        <v>2000000</v>
      </c>
      <c r="AE71" s="49">
        <v>4000000</v>
      </c>
      <c r="AF71" s="49">
        <f t="shared" si="9"/>
        <v>-1000000</v>
      </c>
    </row>
    <row r="72" spans="1:32">
      <c r="A72" s="52">
        <v>20230401</v>
      </c>
      <c r="B72" s="52">
        <v>20231130</v>
      </c>
      <c r="C72" s="52" t="s">
        <v>94</v>
      </c>
      <c r="D72" s="52" t="s">
        <v>140</v>
      </c>
      <c r="E72" s="52" t="s">
        <v>161</v>
      </c>
      <c r="F72" s="52">
        <v>90</v>
      </c>
      <c r="G72" s="52" t="s">
        <v>107</v>
      </c>
      <c r="H72" s="52">
        <v>40</v>
      </c>
      <c r="I72" s="52" t="s">
        <v>102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>
        <v>110902</v>
      </c>
      <c r="U72" s="52" t="s">
        <v>101</v>
      </c>
      <c r="V72" s="52" t="s">
        <v>97</v>
      </c>
      <c r="W72" s="52" t="s">
        <v>98</v>
      </c>
      <c r="X72" s="52"/>
      <c r="Y72" s="52"/>
      <c r="Z72" s="53"/>
      <c r="AA72" s="52"/>
      <c r="AB72" s="52"/>
      <c r="AC72" s="52">
        <v>60000000</v>
      </c>
      <c r="AD72" s="52">
        <v>4000000</v>
      </c>
      <c r="AE72" s="52">
        <v>3000000</v>
      </c>
      <c r="AF72" s="52">
        <f t="shared" si="9"/>
        <v>61000000</v>
      </c>
    </row>
    <row r="73" spans="1:32">
      <c r="A73" s="49">
        <v>20230401</v>
      </c>
      <c r="B73" s="49">
        <v>20231130</v>
      </c>
      <c r="C73" s="49" t="s">
        <v>94</v>
      </c>
      <c r="D73" s="49" t="s">
        <v>140</v>
      </c>
      <c r="E73" s="49" t="s">
        <v>161</v>
      </c>
      <c r="F73" s="49">
        <v>90</v>
      </c>
      <c r="G73" s="49" t="s">
        <v>107</v>
      </c>
      <c r="H73" s="49">
        <v>40</v>
      </c>
      <c r="I73" s="49" t="s">
        <v>102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>
        <v>110902</v>
      </c>
      <c r="U73" s="49" t="s">
        <v>101</v>
      </c>
      <c r="V73" s="49" t="s">
        <v>97</v>
      </c>
      <c r="W73" s="49" t="s">
        <v>98</v>
      </c>
      <c r="X73" s="49" t="s">
        <v>132</v>
      </c>
      <c r="Y73" s="49" t="s">
        <v>133</v>
      </c>
      <c r="Z73" s="50"/>
      <c r="AA73" s="49"/>
      <c r="AB73" s="59"/>
      <c r="AC73" s="49">
        <v>70000000</v>
      </c>
      <c r="AD73" s="49">
        <v>3000000</v>
      </c>
      <c r="AE73" s="49">
        <v>2000000</v>
      </c>
      <c r="AF73" s="49">
        <f t="shared" si="9"/>
        <v>71000000</v>
      </c>
    </row>
    <row r="74" spans="1:32">
      <c r="A74" s="52">
        <v>20230401</v>
      </c>
      <c r="B74" s="52">
        <v>20231130</v>
      </c>
      <c r="C74" s="52" t="s">
        <v>94</v>
      </c>
      <c r="D74" s="52" t="s">
        <v>140</v>
      </c>
      <c r="E74" s="52" t="s">
        <v>161</v>
      </c>
      <c r="F74" s="52">
        <v>90</v>
      </c>
      <c r="G74" s="52" t="s">
        <v>107</v>
      </c>
      <c r="H74" s="52">
        <v>40</v>
      </c>
      <c r="I74" s="52" t="s">
        <v>102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>
        <v>110902</v>
      </c>
      <c r="U74" s="52" t="s">
        <v>101</v>
      </c>
      <c r="V74" s="52" t="s">
        <v>97</v>
      </c>
      <c r="W74" s="52" t="s">
        <v>98</v>
      </c>
      <c r="X74" s="52" t="s">
        <v>132</v>
      </c>
      <c r="Y74" s="52" t="s">
        <v>133</v>
      </c>
      <c r="Z74" s="53">
        <v>10002</v>
      </c>
      <c r="AA74" s="52" t="s">
        <v>103</v>
      </c>
      <c r="AB74" s="52"/>
      <c r="AC74" s="52">
        <v>80000000</v>
      </c>
      <c r="AD74" s="52">
        <v>2000000</v>
      </c>
      <c r="AE74" s="52">
        <v>7000000</v>
      </c>
      <c r="AF74" s="52">
        <f t="shared" si="9"/>
        <v>75000000</v>
      </c>
    </row>
    <row r="75" spans="1:32">
      <c r="A75" s="49">
        <v>20230401</v>
      </c>
      <c r="B75" s="49">
        <v>20231130</v>
      </c>
      <c r="C75" s="49" t="s">
        <v>94</v>
      </c>
      <c r="D75" s="49" t="s">
        <v>143</v>
      </c>
      <c r="E75" s="49" t="s">
        <v>162</v>
      </c>
      <c r="F75" s="49">
        <v>90</v>
      </c>
      <c r="G75" s="49" t="s">
        <v>107</v>
      </c>
      <c r="H75" s="49">
        <v>40</v>
      </c>
      <c r="I75" s="49" t="s">
        <v>102</v>
      </c>
      <c r="J75" s="49">
        <v>81</v>
      </c>
      <c r="K75" s="49" t="s">
        <v>104</v>
      </c>
      <c r="L75" s="49"/>
      <c r="M75" s="49"/>
      <c r="N75" s="49"/>
      <c r="O75" s="49"/>
      <c r="P75" s="49"/>
      <c r="Q75" s="49"/>
      <c r="R75" s="49"/>
      <c r="S75" s="49"/>
      <c r="T75" s="49">
        <v>110501</v>
      </c>
      <c r="U75" s="49" t="s">
        <v>154</v>
      </c>
      <c r="V75" s="49" t="s">
        <v>96</v>
      </c>
      <c r="W75" s="49" t="s">
        <v>98</v>
      </c>
      <c r="X75" s="49"/>
      <c r="Y75" s="49"/>
      <c r="Z75" s="50"/>
      <c r="AA75" s="49"/>
      <c r="AB75" s="59"/>
      <c r="AC75" s="49">
        <v>20000000</v>
      </c>
      <c r="AD75" s="49">
        <v>8000000</v>
      </c>
      <c r="AE75" s="49">
        <v>6000000</v>
      </c>
      <c r="AF75" s="49">
        <f t="shared" ref="AF75:AF76" si="11">AD75-AE75+AC75</f>
        <v>22000000</v>
      </c>
    </row>
    <row r="76" spans="1:32">
      <c r="A76" s="52">
        <v>20230401</v>
      </c>
      <c r="B76" s="52">
        <v>20231130</v>
      </c>
      <c r="C76" s="52" t="s">
        <v>94</v>
      </c>
      <c r="D76" s="52" t="s">
        <v>142</v>
      </c>
      <c r="E76" s="52" t="s">
        <v>162</v>
      </c>
      <c r="F76" s="52">
        <v>90</v>
      </c>
      <c r="G76" s="52" t="s">
        <v>107</v>
      </c>
      <c r="H76" s="52">
        <v>40</v>
      </c>
      <c r="I76" s="52" t="s">
        <v>102</v>
      </c>
      <c r="J76" s="52">
        <v>81</v>
      </c>
      <c r="K76" s="52" t="s">
        <v>104</v>
      </c>
      <c r="L76" s="52"/>
      <c r="M76" s="52"/>
      <c r="N76" s="52"/>
      <c r="O76" s="52"/>
      <c r="P76" s="52"/>
      <c r="Q76" s="52"/>
      <c r="R76" s="52"/>
      <c r="S76" s="52"/>
      <c r="T76" s="52">
        <v>110501</v>
      </c>
      <c r="U76" s="52" t="s">
        <v>154</v>
      </c>
      <c r="V76" s="52" t="s">
        <v>96</v>
      </c>
      <c r="W76" s="52" t="s">
        <v>98</v>
      </c>
      <c r="X76" s="52" t="s">
        <v>132</v>
      </c>
      <c r="Y76" s="52" t="s">
        <v>133</v>
      </c>
      <c r="Z76" s="53"/>
      <c r="AA76" s="52"/>
      <c r="AB76" s="52"/>
      <c r="AC76" s="52">
        <v>30000000</v>
      </c>
      <c r="AD76" s="52">
        <v>7000000</v>
      </c>
      <c r="AE76" s="52">
        <v>7000000</v>
      </c>
      <c r="AF76" s="52">
        <f t="shared" si="11"/>
        <v>30000000</v>
      </c>
    </row>
    <row r="77" spans="1:32">
      <c r="A77" s="49">
        <v>20230401</v>
      </c>
      <c r="B77" s="49">
        <v>20231130</v>
      </c>
      <c r="C77" s="49" t="s">
        <v>94</v>
      </c>
      <c r="D77" s="49" t="s">
        <v>143</v>
      </c>
      <c r="E77" s="49" t="s">
        <v>162</v>
      </c>
      <c r="F77" s="49">
        <v>90</v>
      </c>
      <c r="G77" s="49" t="s">
        <v>107</v>
      </c>
      <c r="H77" s="49">
        <v>40</v>
      </c>
      <c r="I77" s="49" t="s">
        <v>102</v>
      </c>
      <c r="J77" s="49">
        <v>81</v>
      </c>
      <c r="K77" s="49" t="s">
        <v>104</v>
      </c>
      <c r="L77" s="49"/>
      <c r="M77" s="49"/>
      <c r="N77" s="49"/>
      <c r="O77" s="49"/>
      <c r="P77" s="49"/>
      <c r="Q77" s="49"/>
      <c r="R77" s="49"/>
      <c r="S77" s="49"/>
      <c r="T77" s="49">
        <v>110901</v>
      </c>
      <c r="U77" s="49" t="s">
        <v>95</v>
      </c>
      <c r="V77" s="49" t="s">
        <v>97</v>
      </c>
      <c r="W77" s="49" t="s">
        <v>98</v>
      </c>
      <c r="X77" s="49"/>
      <c r="Y77" s="49"/>
      <c r="Z77" s="50"/>
      <c r="AA77" s="49"/>
      <c r="AB77" s="59"/>
      <c r="AC77" s="49">
        <v>20000000</v>
      </c>
      <c r="AD77" s="49">
        <v>8000000</v>
      </c>
      <c r="AE77" s="49">
        <v>6000000</v>
      </c>
      <c r="AF77" s="49">
        <f t="shared" si="9"/>
        <v>22000000</v>
      </c>
    </row>
    <row r="78" spans="1:32">
      <c r="A78" s="52">
        <v>20230401</v>
      </c>
      <c r="B78" s="52">
        <v>20231130</v>
      </c>
      <c r="C78" s="52" t="s">
        <v>94</v>
      </c>
      <c r="D78" s="52" t="s">
        <v>142</v>
      </c>
      <c r="E78" s="52" t="s">
        <v>162</v>
      </c>
      <c r="F78" s="52">
        <v>90</v>
      </c>
      <c r="G78" s="52" t="s">
        <v>107</v>
      </c>
      <c r="H78" s="52">
        <v>40</v>
      </c>
      <c r="I78" s="52" t="s">
        <v>102</v>
      </c>
      <c r="J78" s="52">
        <v>81</v>
      </c>
      <c r="K78" s="52" t="s">
        <v>104</v>
      </c>
      <c r="L78" s="52"/>
      <c r="M78" s="52"/>
      <c r="N78" s="52"/>
      <c r="O78" s="52"/>
      <c r="P78" s="52"/>
      <c r="Q78" s="52"/>
      <c r="R78" s="52"/>
      <c r="S78" s="52"/>
      <c r="T78" s="52">
        <v>110901</v>
      </c>
      <c r="U78" s="52" t="s">
        <v>95</v>
      </c>
      <c r="V78" s="52" t="s">
        <v>97</v>
      </c>
      <c r="W78" s="52" t="s">
        <v>98</v>
      </c>
      <c r="X78" s="52" t="s">
        <v>132</v>
      </c>
      <c r="Y78" s="52" t="s">
        <v>133</v>
      </c>
      <c r="Z78" s="53"/>
      <c r="AA78" s="52"/>
      <c r="AB78" s="52"/>
      <c r="AC78" s="52">
        <v>30000000</v>
      </c>
      <c r="AD78" s="52">
        <v>7000000</v>
      </c>
      <c r="AE78" s="52">
        <v>7000000</v>
      </c>
      <c r="AF78" s="52">
        <f t="shared" si="9"/>
        <v>30000000</v>
      </c>
    </row>
    <row r="79" spans="1:32">
      <c r="A79" s="49">
        <v>20230401</v>
      </c>
      <c r="B79" s="49">
        <v>20231130</v>
      </c>
      <c r="C79" s="49" t="s">
        <v>94</v>
      </c>
      <c r="D79" s="49" t="s">
        <v>142</v>
      </c>
      <c r="E79" s="49" t="s">
        <v>162</v>
      </c>
      <c r="F79" s="49">
        <v>90</v>
      </c>
      <c r="G79" s="49" t="s">
        <v>107</v>
      </c>
      <c r="H79" s="49">
        <v>40</v>
      </c>
      <c r="I79" s="49" t="s">
        <v>102</v>
      </c>
      <c r="J79" s="49">
        <v>81</v>
      </c>
      <c r="K79" s="49" t="s">
        <v>104</v>
      </c>
      <c r="L79" s="49"/>
      <c r="M79" s="49"/>
      <c r="N79" s="49"/>
      <c r="O79" s="49"/>
      <c r="P79" s="49"/>
      <c r="Q79" s="49"/>
      <c r="R79" s="49"/>
      <c r="S79" s="49"/>
      <c r="T79" s="49">
        <v>110901</v>
      </c>
      <c r="U79" s="49" t="s">
        <v>95</v>
      </c>
      <c r="V79" s="49" t="s">
        <v>97</v>
      </c>
      <c r="W79" s="49" t="s">
        <v>98</v>
      </c>
      <c r="X79" s="49" t="s">
        <v>132</v>
      </c>
      <c r="Y79" s="49" t="s">
        <v>133</v>
      </c>
      <c r="Z79" s="50" t="s">
        <v>99</v>
      </c>
      <c r="AA79" s="49" t="s">
        <v>100</v>
      </c>
      <c r="AB79" s="59"/>
      <c r="AC79" s="49">
        <v>40000000</v>
      </c>
      <c r="AD79" s="49"/>
      <c r="AE79" s="49">
        <v>40000000</v>
      </c>
      <c r="AF79" s="49"/>
    </row>
    <row r="80" spans="1:32">
      <c r="A80" s="52">
        <v>20230401</v>
      </c>
      <c r="B80" s="52">
        <v>20231130</v>
      </c>
      <c r="C80" s="52" t="s">
        <v>94</v>
      </c>
      <c r="D80" s="52" t="s">
        <v>142</v>
      </c>
      <c r="E80" s="52" t="s">
        <v>162</v>
      </c>
      <c r="F80" s="52">
        <v>90</v>
      </c>
      <c r="G80" s="52" t="s">
        <v>107</v>
      </c>
      <c r="H80" s="52">
        <v>40</v>
      </c>
      <c r="I80" s="52" t="s">
        <v>102</v>
      </c>
      <c r="J80" s="52">
        <v>81</v>
      </c>
      <c r="K80" s="52" t="s">
        <v>104</v>
      </c>
      <c r="L80" s="52"/>
      <c r="M80" s="52"/>
      <c r="N80" s="52"/>
      <c r="O80" s="52"/>
      <c r="P80" s="52"/>
      <c r="Q80" s="52"/>
      <c r="R80" s="52"/>
      <c r="S80" s="52"/>
      <c r="T80" s="52">
        <v>110901</v>
      </c>
      <c r="U80" s="52" t="s">
        <v>95</v>
      </c>
      <c r="V80" s="52" t="s">
        <v>97</v>
      </c>
      <c r="W80" s="52" t="s">
        <v>98</v>
      </c>
      <c r="X80" s="53">
        <v>300089008</v>
      </c>
      <c r="Y80" s="52" t="s">
        <v>153</v>
      </c>
      <c r="Z80" s="53"/>
      <c r="AA80" s="52"/>
      <c r="AB80" s="52"/>
      <c r="AC80" s="52">
        <v>30000000</v>
      </c>
      <c r="AD80" s="52">
        <v>7000000</v>
      </c>
      <c r="AE80" s="52">
        <v>4000000</v>
      </c>
      <c r="AF80" s="52">
        <f t="shared" si="9"/>
        <v>33000000</v>
      </c>
    </row>
    <row r="81" spans="1:32">
      <c r="A81" s="49">
        <v>20230401</v>
      </c>
      <c r="B81" s="49">
        <v>20231130</v>
      </c>
      <c r="C81" s="49" t="s">
        <v>94</v>
      </c>
      <c r="D81" s="49" t="s">
        <v>142</v>
      </c>
      <c r="E81" s="49" t="s">
        <v>162</v>
      </c>
      <c r="F81" s="49">
        <v>90</v>
      </c>
      <c r="G81" s="49" t="s">
        <v>107</v>
      </c>
      <c r="H81" s="49">
        <v>40</v>
      </c>
      <c r="I81" s="49" t="s">
        <v>102</v>
      </c>
      <c r="J81" s="49">
        <v>81</v>
      </c>
      <c r="K81" s="49" t="s">
        <v>104</v>
      </c>
      <c r="L81" s="49"/>
      <c r="M81" s="49"/>
      <c r="N81" s="49"/>
      <c r="O81" s="49"/>
      <c r="P81" s="49"/>
      <c r="Q81" s="49"/>
      <c r="R81" s="49"/>
      <c r="S81" s="49"/>
      <c r="T81" s="49">
        <v>110901</v>
      </c>
      <c r="U81" s="49" t="s">
        <v>95</v>
      </c>
      <c r="V81" s="49" t="s">
        <v>97</v>
      </c>
      <c r="W81" s="49" t="s">
        <v>98</v>
      </c>
      <c r="X81" s="50">
        <v>300089008</v>
      </c>
      <c r="Y81" s="49" t="s">
        <v>153</v>
      </c>
      <c r="Z81" s="50" t="s">
        <v>99</v>
      </c>
      <c r="AA81" s="49" t="s">
        <v>100</v>
      </c>
      <c r="AB81" s="59"/>
      <c r="AC81" s="49">
        <v>1000000</v>
      </c>
      <c r="AD81" s="49">
        <v>2000000</v>
      </c>
      <c r="AE81" s="49">
        <v>4000000</v>
      </c>
      <c r="AF81" s="49">
        <f t="shared" si="9"/>
        <v>-1000000</v>
      </c>
    </row>
    <row r="82" spans="1:32">
      <c r="A82" s="52">
        <v>20230401</v>
      </c>
      <c r="B82" s="52">
        <v>20231130</v>
      </c>
      <c r="C82" s="52" t="s">
        <v>94</v>
      </c>
      <c r="D82" s="52" t="s">
        <v>142</v>
      </c>
      <c r="E82" s="52" t="s">
        <v>162</v>
      </c>
      <c r="F82" s="52">
        <v>90</v>
      </c>
      <c r="G82" s="52" t="s">
        <v>107</v>
      </c>
      <c r="H82" s="52">
        <v>40</v>
      </c>
      <c r="I82" s="52" t="s">
        <v>102</v>
      </c>
      <c r="J82" s="52">
        <v>81</v>
      </c>
      <c r="K82" s="52" t="s">
        <v>104</v>
      </c>
      <c r="L82" s="52"/>
      <c r="M82" s="52"/>
      <c r="N82" s="52"/>
      <c r="O82" s="52"/>
      <c r="P82" s="52"/>
      <c r="Q82" s="52"/>
      <c r="R82" s="52"/>
      <c r="S82" s="52"/>
      <c r="T82" s="52">
        <v>110902</v>
      </c>
      <c r="U82" s="52" t="s">
        <v>101</v>
      </c>
      <c r="V82" s="52" t="s">
        <v>97</v>
      </c>
      <c r="W82" s="52" t="s">
        <v>98</v>
      </c>
      <c r="X82" s="52"/>
      <c r="Y82" s="52"/>
      <c r="Z82" s="53"/>
      <c r="AA82" s="52"/>
      <c r="AB82" s="52"/>
      <c r="AC82" s="52">
        <v>60000000</v>
      </c>
      <c r="AD82" s="52">
        <v>4000000</v>
      </c>
      <c r="AE82" s="52">
        <v>2000000</v>
      </c>
      <c r="AF82" s="52">
        <f t="shared" si="9"/>
        <v>62000000</v>
      </c>
    </row>
    <row r="83" spans="1:32">
      <c r="A83" s="49">
        <v>20230401</v>
      </c>
      <c r="B83" s="49">
        <v>20231130</v>
      </c>
      <c r="C83" s="49" t="s">
        <v>94</v>
      </c>
      <c r="D83" s="49" t="s">
        <v>142</v>
      </c>
      <c r="E83" s="49" t="s">
        <v>162</v>
      </c>
      <c r="F83" s="49">
        <v>90</v>
      </c>
      <c r="G83" s="49" t="s">
        <v>107</v>
      </c>
      <c r="H83" s="49">
        <v>40</v>
      </c>
      <c r="I83" s="49" t="s">
        <v>102</v>
      </c>
      <c r="J83" s="49">
        <v>81</v>
      </c>
      <c r="K83" s="49" t="s">
        <v>104</v>
      </c>
      <c r="L83" s="49"/>
      <c r="M83" s="49"/>
      <c r="N83" s="49"/>
      <c r="O83" s="49"/>
      <c r="P83" s="49"/>
      <c r="Q83" s="49"/>
      <c r="R83" s="49"/>
      <c r="S83" s="49"/>
      <c r="T83" s="49">
        <v>110902</v>
      </c>
      <c r="U83" s="49" t="s">
        <v>101</v>
      </c>
      <c r="V83" s="49" t="s">
        <v>97</v>
      </c>
      <c r="W83" s="49" t="s">
        <v>98</v>
      </c>
      <c r="X83" s="49" t="s">
        <v>132</v>
      </c>
      <c r="Y83" s="49" t="s">
        <v>133</v>
      </c>
      <c r="Z83" s="50"/>
      <c r="AA83" s="49"/>
      <c r="AB83" s="59"/>
      <c r="AC83" s="49">
        <v>70000000</v>
      </c>
      <c r="AD83" s="49">
        <v>3000000</v>
      </c>
      <c r="AE83" s="49">
        <v>8000000</v>
      </c>
      <c r="AF83" s="49">
        <f t="shared" si="9"/>
        <v>65000000</v>
      </c>
    </row>
    <row r="84" spans="1:32">
      <c r="A84" s="52">
        <v>20230401</v>
      </c>
      <c r="B84" s="52">
        <v>20231130</v>
      </c>
      <c r="C84" s="52" t="s">
        <v>94</v>
      </c>
      <c r="D84" s="52" t="s">
        <v>142</v>
      </c>
      <c r="E84" s="52" t="s">
        <v>162</v>
      </c>
      <c r="F84" s="52">
        <v>90</v>
      </c>
      <c r="G84" s="52" t="s">
        <v>107</v>
      </c>
      <c r="H84" s="52">
        <v>40</v>
      </c>
      <c r="I84" s="52" t="s">
        <v>102</v>
      </c>
      <c r="J84" s="52">
        <v>81</v>
      </c>
      <c r="K84" s="52" t="s">
        <v>104</v>
      </c>
      <c r="L84" s="52"/>
      <c r="M84" s="52"/>
      <c r="N84" s="52"/>
      <c r="O84" s="52"/>
      <c r="P84" s="52"/>
      <c r="Q84" s="52"/>
      <c r="R84" s="52"/>
      <c r="S84" s="52"/>
      <c r="T84" s="52">
        <v>110902</v>
      </c>
      <c r="U84" s="52" t="s">
        <v>101</v>
      </c>
      <c r="V84" s="52" t="s">
        <v>97</v>
      </c>
      <c r="W84" s="52" t="s">
        <v>98</v>
      </c>
      <c r="X84" s="52" t="s">
        <v>132</v>
      </c>
      <c r="Y84" s="52" t="s">
        <v>133</v>
      </c>
      <c r="Z84" s="53">
        <v>10002</v>
      </c>
      <c r="AA84" s="52" t="s">
        <v>103</v>
      </c>
      <c r="AB84" s="52"/>
      <c r="AC84" s="52">
        <v>80000000</v>
      </c>
      <c r="AD84" s="52">
        <v>2000000</v>
      </c>
      <c r="AE84" s="52">
        <v>7000000</v>
      </c>
      <c r="AF84" s="52">
        <f t="shared" si="9"/>
        <v>75000000</v>
      </c>
    </row>
    <row r="85" spans="1:32">
      <c r="A85" s="49">
        <v>20230401</v>
      </c>
      <c r="B85" s="49">
        <v>20231130</v>
      </c>
      <c r="C85" s="49" t="s">
        <v>94</v>
      </c>
      <c r="D85" s="49" t="s">
        <v>145</v>
      </c>
      <c r="E85" s="49" t="s">
        <v>163</v>
      </c>
      <c r="F85" s="49">
        <v>90</v>
      </c>
      <c r="G85" s="49" t="s">
        <v>107</v>
      </c>
      <c r="H85" s="49">
        <v>40</v>
      </c>
      <c r="I85" s="49" t="s">
        <v>102</v>
      </c>
      <c r="J85" s="49">
        <v>81</v>
      </c>
      <c r="K85" s="49" t="s">
        <v>104</v>
      </c>
      <c r="L85" s="49"/>
      <c r="M85" s="49"/>
      <c r="N85" s="49"/>
      <c r="O85" s="49"/>
      <c r="P85" s="49"/>
      <c r="Q85" s="49"/>
      <c r="R85" s="49">
        <v>90</v>
      </c>
      <c r="S85" s="49" t="s">
        <v>104</v>
      </c>
      <c r="T85" s="49">
        <v>110501</v>
      </c>
      <c r="U85" s="49" t="s">
        <v>154</v>
      </c>
      <c r="V85" s="49" t="s">
        <v>96</v>
      </c>
      <c r="W85" s="49" t="s">
        <v>98</v>
      </c>
      <c r="X85" s="49"/>
      <c r="Y85" s="49"/>
      <c r="Z85" s="50"/>
      <c r="AA85" s="49"/>
      <c r="AB85" s="59"/>
      <c r="AC85" s="49">
        <v>20000000</v>
      </c>
      <c r="AD85" s="49">
        <v>8000000</v>
      </c>
      <c r="AE85" s="49">
        <v>6000000</v>
      </c>
      <c r="AF85" s="49">
        <f t="shared" ref="AF85:AF86" si="12">AD85-AE85+AC85</f>
        <v>22000000</v>
      </c>
    </row>
    <row r="86" spans="1:32">
      <c r="A86" s="52">
        <v>20230401</v>
      </c>
      <c r="B86" s="52">
        <v>20231130</v>
      </c>
      <c r="C86" s="52" t="s">
        <v>94</v>
      </c>
      <c r="D86" s="52" t="s">
        <v>144</v>
      </c>
      <c r="E86" s="52" t="s">
        <v>163</v>
      </c>
      <c r="F86" s="52">
        <v>90</v>
      </c>
      <c r="G86" s="52" t="s">
        <v>107</v>
      </c>
      <c r="H86" s="52">
        <v>40</v>
      </c>
      <c r="I86" s="52" t="s">
        <v>102</v>
      </c>
      <c r="J86" s="52">
        <v>81</v>
      </c>
      <c r="K86" s="52" t="s">
        <v>104</v>
      </c>
      <c r="L86" s="52"/>
      <c r="M86" s="52"/>
      <c r="N86" s="52"/>
      <c r="O86" s="52"/>
      <c r="P86" s="52"/>
      <c r="Q86" s="52"/>
      <c r="R86" s="52">
        <v>90</v>
      </c>
      <c r="S86" s="52" t="s">
        <v>104</v>
      </c>
      <c r="T86" s="52">
        <v>110501</v>
      </c>
      <c r="U86" s="52" t="s">
        <v>154</v>
      </c>
      <c r="V86" s="52" t="s">
        <v>96</v>
      </c>
      <c r="W86" s="52" t="s">
        <v>98</v>
      </c>
      <c r="X86" s="52" t="s">
        <v>132</v>
      </c>
      <c r="Y86" s="52" t="s">
        <v>133</v>
      </c>
      <c r="Z86" s="53"/>
      <c r="AA86" s="52"/>
      <c r="AB86" s="52"/>
      <c r="AC86" s="52">
        <v>30000000</v>
      </c>
      <c r="AD86" s="52">
        <v>7000000</v>
      </c>
      <c r="AE86" s="52">
        <v>7000000</v>
      </c>
      <c r="AF86" s="52">
        <f t="shared" si="12"/>
        <v>30000000</v>
      </c>
    </row>
    <row r="87" spans="1:32">
      <c r="A87" s="49">
        <v>20230401</v>
      </c>
      <c r="B87" s="49">
        <v>20231130</v>
      </c>
      <c r="C87" s="49" t="s">
        <v>94</v>
      </c>
      <c r="D87" s="49" t="s">
        <v>145</v>
      </c>
      <c r="E87" s="49" t="s">
        <v>163</v>
      </c>
      <c r="F87" s="49">
        <v>90</v>
      </c>
      <c r="G87" s="49" t="s">
        <v>107</v>
      </c>
      <c r="H87" s="49">
        <v>40</v>
      </c>
      <c r="I87" s="49" t="s">
        <v>102</v>
      </c>
      <c r="J87" s="49">
        <v>81</v>
      </c>
      <c r="K87" s="49" t="s">
        <v>104</v>
      </c>
      <c r="L87" s="49"/>
      <c r="M87" s="49"/>
      <c r="N87" s="49"/>
      <c r="O87" s="49"/>
      <c r="P87" s="49"/>
      <c r="Q87" s="49"/>
      <c r="R87" s="49">
        <v>90</v>
      </c>
      <c r="S87" s="49" t="s">
        <v>104</v>
      </c>
      <c r="T87" s="49">
        <v>110901</v>
      </c>
      <c r="U87" s="49" t="s">
        <v>95</v>
      </c>
      <c r="V87" s="49" t="s">
        <v>97</v>
      </c>
      <c r="W87" s="49" t="s">
        <v>98</v>
      </c>
      <c r="X87" s="49"/>
      <c r="Y87" s="49"/>
      <c r="Z87" s="50"/>
      <c r="AA87" s="49"/>
      <c r="AB87" s="59"/>
      <c r="AC87" s="49">
        <v>20000000</v>
      </c>
      <c r="AD87" s="49">
        <v>8000000</v>
      </c>
      <c r="AE87" s="49">
        <v>6000000</v>
      </c>
      <c r="AF87" s="49">
        <f t="shared" si="9"/>
        <v>22000000</v>
      </c>
    </row>
    <row r="88" spans="1:32">
      <c r="A88" s="52">
        <v>20230401</v>
      </c>
      <c r="B88" s="52">
        <v>20231130</v>
      </c>
      <c r="C88" s="52" t="s">
        <v>94</v>
      </c>
      <c r="D88" s="52" t="s">
        <v>144</v>
      </c>
      <c r="E88" s="52" t="s">
        <v>163</v>
      </c>
      <c r="F88" s="52">
        <v>90</v>
      </c>
      <c r="G88" s="52" t="s">
        <v>107</v>
      </c>
      <c r="H88" s="52">
        <v>40</v>
      </c>
      <c r="I88" s="52" t="s">
        <v>102</v>
      </c>
      <c r="J88" s="52">
        <v>81</v>
      </c>
      <c r="K88" s="52" t="s">
        <v>104</v>
      </c>
      <c r="L88" s="52"/>
      <c r="M88" s="52"/>
      <c r="N88" s="52"/>
      <c r="O88" s="52"/>
      <c r="P88" s="52"/>
      <c r="Q88" s="52"/>
      <c r="R88" s="52">
        <v>90</v>
      </c>
      <c r="S88" s="52" t="s">
        <v>104</v>
      </c>
      <c r="T88" s="52">
        <v>110901</v>
      </c>
      <c r="U88" s="52" t="s">
        <v>95</v>
      </c>
      <c r="V88" s="52" t="s">
        <v>97</v>
      </c>
      <c r="W88" s="52" t="s">
        <v>98</v>
      </c>
      <c r="X88" s="52" t="s">
        <v>132</v>
      </c>
      <c r="Y88" s="52" t="s">
        <v>133</v>
      </c>
      <c r="Z88" s="53"/>
      <c r="AA88" s="52"/>
      <c r="AB88" s="52"/>
      <c r="AC88" s="52">
        <v>30000000</v>
      </c>
      <c r="AD88" s="52">
        <v>7000000</v>
      </c>
      <c r="AE88" s="52">
        <v>7000000</v>
      </c>
      <c r="AF88" s="52">
        <f t="shared" si="9"/>
        <v>30000000</v>
      </c>
    </row>
    <row r="89" spans="1:32">
      <c r="A89" s="49">
        <v>20230401</v>
      </c>
      <c r="B89" s="49">
        <v>20231130</v>
      </c>
      <c r="C89" s="49" t="s">
        <v>94</v>
      </c>
      <c r="D89" s="49" t="s">
        <v>144</v>
      </c>
      <c r="E89" s="49" t="s">
        <v>163</v>
      </c>
      <c r="F89" s="49">
        <v>90</v>
      </c>
      <c r="G89" s="49" t="s">
        <v>107</v>
      </c>
      <c r="H89" s="49">
        <v>40</v>
      </c>
      <c r="I89" s="49" t="s">
        <v>102</v>
      </c>
      <c r="J89" s="49">
        <v>81</v>
      </c>
      <c r="K89" s="49" t="s">
        <v>104</v>
      </c>
      <c r="L89" s="49"/>
      <c r="M89" s="49"/>
      <c r="N89" s="49"/>
      <c r="O89" s="49"/>
      <c r="P89" s="49"/>
      <c r="Q89" s="49"/>
      <c r="R89" s="49">
        <v>90</v>
      </c>
      <c r="S89" s="49" t="s">
        <v>104</v>
      </c>
      <c r="T89" s="49">
        <v>110901</v>
      </c>
      <c r="U89" s="49" t="s">
        <v>95</v>
      </c>
      <c r="V89" s="49" t="s">
        <v>97</v>
      </c>
      <c r="W89" s="49" t="s">
        <v>98</v>
      </c>
      <c r="X89" s="49" t="s">
        <v>132</v>
      </c>
      <c r="Y89" s="49" t="s">
        <v>133</v>
      </c>
      <c r="Z89" s="50" t="s">
        <v>99</v>
      </c>
      <c r="AA89" s="49" t="s">
        <v>100</v>
      </c>
      <c r="AB89" s="59"/>
      <c r="AC89" s="49">
        <v>40000000</v>
      </c>
      <c r="AD89" s="49"/>
      <c r="AE89" s="49">
        <v>40000000</v>
      </c>
      <c r="AF89" s="49"/>
    </row>
    <row r="90" spans="1:32">
      <c r="A90" s="52">
        <v>20230401</v>
      </c>
      <c r="B90" s="52">
        <v>20231130</v>
      </c>
      <c r="C90" s="52" t="s">
        <v>94</v>
      </c>
      <c r="D90" s="52" t="s">
        <v>144</v>
      </c>
      <c r="E90" s="52" t="s">
        <v>163</v>
      </c>
      <c r="F90" s="52">
        <v>90</v>
      </c>
      <c r="G90" s="52" t="s">
        <v>107</v>
      </c>
      <c r="H90" s="52">
        <v>40</v>
      </c>
      <c r="I90" s="52" t="s">
        <v>102</v>
      </c>
      <c r="J90" s="52">
        <v>81</v>
      </c>
      <c r="K90" s="52" t="s">
        <v>104</v>
      </c>
      <c r="L90" s="52"/>
      <c r="M90" s="52"/>
      <c r="N90" s="52"/>
      <c r="O90" s="52"/>
      <c r="P90" s="52"/>
      <c r="Q90" s="52"/>
      <c r="R90" s="52">
        <v>90</v>
      </c>
      <c r="S90" s="52" t="s">
        <v>104</v>
      </c>
      <c r="T90" s="52">
        <v>110901</v>
      </c>
      <c r="U90" s="52" t="s">
        <v>95</v>
      </c>
      <c r="V90" s="52" t="s">
        <v>97</v>
      </c>
      <c r="W90" s="52" t="s">
        <v>98</v>
      </c>
      <c r="X90" s="53">
        <v>300089008</v>
      </c>
      <c r="Y90" s="52" t="s">
        <v>153</v>
      </c>
      <c r="Z90" s="53"/>
      <c r="AA90" s="52"/>
      <c r="AB90" s="52"/>
      <c r="AC90" s="52">
        <v>30000000</v>
      </c>
      <c r="AD90" s="52">
        <v>7000000</v>
      </c>
      <c r="AE90" s="52">
        <v>4000000</v>
      </c>
      <c r="AF90" s="52">
        <f t="shared" si="9"/>
        <v>33000000</v>
      </c>
    </row>
    <row r="91" spans="1:32">
      <c r="A91" s="49">
        <v>20230401</v>
      </c>
      <c r="B91" s="49">
        <v>20231130</v>
      </c>
      <c r="C91" s="49" t="s">
        <v>94</v>
      </c>
      <c r="D91" s="49" t="s">
        <v>144</v>
      </c>
      <c r="E91" s="49" t="s">
        <v>163</v>
      </c>
      <c r="F91" s="49">
        <v>90</v>
      </c>
      <c r="G91" s="49" t="s">
        <v>107</v>
      </c>
      <c r="H91" s="49">
        <v>40</v>
      </c>
      <c r="I91" s="49" t="s">
        <v>102</v>
      </c>
      <c r="J91" s="49">
        <v>81</v>
      </c>
      <c r="K91" s="49" t="s">
        <v>104</v>
      </c>
      <c r="L91" s="49"/>
      <c r="M91" s="49"/>
      <c r="N91" s="49"/>
      <c r="O91" s="49"/>
      <c r="P91" s="49"/>
      <c r="Q91" s="49"/>
      <c r="R91" s="49">
        <v>90</v>
      </c>
      <c r="S91" s="49" t="s">
        <v>104</v>
      </c>
      <c r="T91" s="49">
        <v>110901</v>
      </c>
      <c r="U91" s="49" t="s">
        <v>95</v>
      </c>
      <c r="V91" s="49" t="s">
        <v>97</v>
      </c>
      <c r="W91" s="49" t="s">
        <v>98</v>
      </c>
      <c r="X91" s="50">
        <v>300089008</v>
      </c>
      <c r="Y91" s="49" t="s">
        <v>153</v>
      </c>
      <c r="Z91" s="50" t="s">
        <v>99</v>
      </c>
      <c r="AA91" s="49" t="s">
        <v>100</v>
      </c>
      <c r="AB91" s="59"/>
      <c r="AC91" s="49">
        <v>1000000</v>
      </c>
      <c r="AD91" s="49">
        <v>2000000</v>
      </c>
      <c r="AE91" s="49">
        <v>4000000</v>
      </c>
      <c r="AF91" s="49">
        <f t="shared" si="9"/>
        <v>-1000000</v>
      </c>
    </row>
    <row r="92" spans="1:32">
      <c r="A92" s="52">
        <v>20230401</v>
      </c>
      <c r="B92" s="52">
        <v>20231130</v>
      </c>
      <c r="C92" s="52" t="s">
        <v>94</v>
      </c>
      <c r="D92" s="52" t="s">
        <v>144</v>
      </c>
      <c r="E92" s="52" t="s">
        <v>163</v>
      </c>
      <c r="F92" s="52">
        <v>90</v>
      </c>
      <c r="G92" s="52" t="s">
        <v>107</v>
      </c>
      <c r="H92" s="52">
        <v>40</v>
      </c>
      <c r="I92" s="52" t="s">
        <v>102</v>
      </c>
      <c r="J92" s="52">
        <v>81</v>
      </c>
      <c r="K92" s="52" t="s">
        <v>104</v>
      </c>
      <c r="L92" s="52"/>
      <c r="M92" s="52"/>
      <c r="N92" s="52"/>
      <c r="O92" s="52"/>
      <c r="P92" s="52"/>
      <c r="Q92" s="52"/>
      <c r="R92" s="52">
        <v>90</v>
      </c>
      <c r="S92" s="52" t="s">
        <v>104</v>
      </c>
      <c r="T92" s="52">
        <v>110902</v>
      </c>
      <c r="U92" s="52" t="s">
        <v>101</v>
      </c>
      <c r="V92" s="52" t="s">
        <v>97</v>
      </c>
      <c r="W92" s="52" t="s">
        <v>98</v>
      </c>
      <c r="X92" s="52"/>
      <c r="Y92" s="52"/>
      <c r="Z92" s="53"/>
      <c r="AA92" s="52"/>
      <c r="AB92" s="52"/>
      <c r="AC92" s="52">
        <v>60000000</v>
      </c>
      <c r="AD92" s="52">
        <v>4000000</v>
      </c>
      <c r="AE92" s="52">
        <v>2000000</v>
      </c>
      <c r="AF92" s="52">
        <f t="shared" si="9"/>
        <v>62000000</v>
      </c>
    </row>
    <row r="93" spans="1:32">
      <c r="A93" s="49">
        <v>20230401</v>
      </c>
      <c r="B93" s="49">
        <v>20231130</v>
      </c>
      <c r="C93" s="49" t="s">
        <v>94</v>
      </c>
      <c r="D93" s="49" t="s">
        <v>144</v>
      </c>
      <c r="E93" s="49" t="s">
        <v>163</v>
      </c>
      <c r="F93" s="49">
        <v>90</v>
      </c>
      <c r="G93" s="49" t="s">
        <v>107</v>
      </c>
      <c r="H93" s="49">
        <v>40</v>
      </c>
      <c r="I93" s="49" t="s">
        <v>102</v>
      </c>
      <c r="J93" s="49">
        <v>81</v>
      </c>
      <c r="K93" s="49" t="s">
        <v>104</v>
      </c>
      <c r="L93" s="49"/>
      <c r="M93" s="49"/>
      <c r="N93" s="49"/>
      <c r="O93" s="49"/>
      <c r="P93" s="49"/>
      <c r="Q93" s="49"/>
      <c r="R93" s="49">
        <v>90</v>
      </c>
      <c r="S93" s="49" t="s">
        <v>104</v>
      </c>
      <c r="T93" s="49">
        <v>110902</v>
      </c>
      <c r="U93" s="49" t="s">
        <v>101</v>
      </c>
      <c r="V93" s="49" t="s">
        <v>97</v>
      </c>
      <c r="W93" s="49" t="s">
        <v>98</v>
      </c>
      <c r="X93" s="49" t="s">
        <v>132</v>
      </c>
      <c r="Y93" s="49" t="s">
        <v>133</v>
      </c>
      <c r="Z93" s="50"/>
      <c r="AA93" s="49"/>
      <c r="AB93" s="59"/>
      <c r="AC93" s="49">
        <v>70000000</v>
      </c>
      <c r="AD93" s="49">
        <v>3000000</v>
      </c>
      <c r="AE93" s="49">
        <v>7000000</v>
      </c>
      <c r="AF93" s="49">
        <f t="shared" si="9"/>
        <v>66000000</v>
      </c>
    </row>
    <row r="94" spans="1:32">
      <c r="A94" s="52">
        <v>20230401</v>
      </c>
      <c r="B94" s="52">
        <v>20231130</v>
      </c>
      <c r="C94" s="52" t="s">
        <v>94</v>
      </c>
      <c r="D94" s="52" t="s">
        <v>144</v>
      </c>
      <c r="E94" s="52" t="s">
        <v>163</v>
      </c>
      <c r="F94" s="52">
        <v>90</v>
      </c>
      <c r="G94" s="52" t="s">
        <v>107</v>
      </c>
      <c r="H94" s="52">
        <v>40</v>
      </c>
      <c r="I94" s="52" t="s">
        <v>102</v>
      </c>
      <c r="J94" s="52">
        <v>81</v>
      </c>
      <c r="K94" s="52" t="s">
        <v>104</v>
      </c>
      <c r="L94" s="52"/>
      <c r="M94" s="52"/>
      <c r="N94" s="52"/>
      <c r="O94" s="52"/>
      <c r="P94" s="52"/>
      <c r="Q94" s="52"/>
      <c r="R94" s="52">
        <v>90</v>
      </c>
      <c r="S94" s="52" t="s">
        <v>104</v>
      </c>
      <c r="T94" s="52">
        <v>110902</v>
      </c>
      <c r="U94" s="52" t="s">
        <v>101</v>
      </c>
      <c r="V94" s="52" t="s">
        <v>97</v>
      </c>
      <c r="W94" s="52" t="s">
        <v>98</v>
      </c>
      <c r="X94" s="52" t="s">
        <v>132</v>
      </c>
      <c r="Y94" s="52" t="s">
        <v>133</v>
      </c>
      <c r="Z94" s="53">
        <v>10002</v>
      </c>
      <c r="AA94" s="52" t="s">
        <v>103</v>
      </c>
      <c r="AB94" s="52"/>
      <c r="AC94" s="52">
        <v>80000000</v>
      </c>
      <c r="AD94" s="52">
        <v>2000000</v>
      </c>
      <c r="AE94" s="52">
        <v>6000000</v>
      </c>
      <c r="AF94" s="52">
        <f t="shared" si="9"/>
        <v>76000000</v>
      </c>
    </row>
  </sheetData>
  <phoneticPr fontId="1"/>
  <pageMargins left="0.7" right="0.7" top="0.75" bottom="0.75" header="0.3" footer="0.3"/>
  <pageSetup paperSize="9" scale="3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CEEB-A5DD-4051-BD75-F2EE74A831A0}">
  <sheetPr codeName="Sheet5">
    <pageSetUpPr fitToPage="1"/>
  </sheetPr>
  <dimension ref="A10:AF194"/>
  <sheetViews>
    <sheetView view="pageBreakPreview" zoomScaleNormal="85" zoomScaleSheetLayoutView="100" workbookViewId="0"/>
  </sheetViews>
  <sheetFormatPr defaultColWidth="9" defaultRowHeight="13.2"/>
  <cols>
    <col min="1" max="1" width="13.33203125" style="47" bestFit="1" customWidth="1"/>
    <col min="2" max="2" width="11.21875" style="47" bestFit="1" customWidth="1"/>
    <col min="3" max="3" width="5.21875" style="47" bestFit="1" customWidth="1"/>
    <col min="4" max="4" width="11.88671875" style="47" bestFit="1" customWidth="1"/>
    <col min="5" max="5" width="13.88671875" style="47" bestFit="1" customWidth="1"/>
    <col min="6" max="6" width="11.88671875" style="47" bestFit="1" customWidth="1"/>
    <col min="7" max="7" width="11" style="47" bestFit="1" customWidth="1"/>
    <col min="8" max="8" width="14" style="47" bestFit="1" customWidth="1"/>
    <col min="9" max="9" width="13" style="47" bestFit="1" customWidth="1"/>
    <col min="10" max="10" width="9.88671875" style="47" bestFit="1" customWidth="1"/>
    <col min="11" max="11" width="9" style="47"/>
    <col min="12" max="12" width="9.88671875" style="47" bestFit="1" customWidth="1"/>
    <col min="13" max="13" width="14.109375" style="47" bestFit="1" customWidth="1"/>
    <col min="14" max="14" width="9.88671875" style="47" bestFit="1" customWidth="1"/>
    <col min="15" max="15" width="16.77734375" style="47" bestFit="1" customWidth="1"/>
    <col min="16" max="16" width="9.88671875" style="47" bestFit="1" customWidth="1"/>
    <col min="17" max="17" width="15.44140625" style="47" bestFit="1" customWidth="1"/>
    <col min="18" max="18" width="9.88671875" style="47" bestFit="1" customWidth="1"/>
    <col min="19" max="19" width="9" style="47"/>
    <col min="20" max="20" width="14" style="47" bestFit="1" customWidth="1"/>
    <col min="21" max="21" width="13" style="47" bestFit="1" customWidth="1"/>
    <col min="22" max="22" width="14.88671875" style="47" bestFit="1" customWidth="1"/>
    <col min="23" max="23" width="13.88671875" style="47" bestFit="1" customWidth="1"/>
    <col min="24" max="24" width="14" style="47" bestFit="1" customWidth="1"/>
    <col min="25" max="25" width="17.88671875" style="47" bestFit="1" customWidth="1"/>
    <col min="26" max="26" width="14" style="47" bestFit="1" customWidth="1"/>
    <col min="27" max="27" width="17.88671875" style="47" bestFit="1" customWidth="1"/>
    <col min="28" max="28" width="5.21875" style="47" bestFit="1" customWidth="1"/>
    <col min="29" max="32" width="13.88671875" style="47" customWidth="1"/>
    <col min="33" max="16384" width="9" style="47"/>
  </cols>
  <sheetData>
    <row r="10" spans="1:32">
      <c r="A10" s="32" t="s">
        <v>106</v>
      </c>
    </row>
    <row r="11" spans="1:32" ht="26.4">
      <c r="A11" s="48" t="s">
        <v>74</v>
      </c>
      <c r="B11" s="48" t="s">
        <v>75</v>
      </c>
      <c r="C11" s="48" t="s">
        <v>76</v>
      </c>
      <c r="D11" s="48" t="s">
        <v>138</v>
      </c>
      <c r="E11" s="48" t="s">
        <v>139</v>
      </c>
      <c r="F11" s="48" t="s">
        <v>77</v>
      </c>
      <c r="G11" s="48" t="s">
        <v>78</v>
      </c>
      <c r="H11" s="48" t="s">
        <v>79</v>
      </c>
      <c r="I11" s="48" t="s">
        <v>80</v>
      </c>
      <c r="J11" s="48" t="s">
        <v>81</v>
      </c>
      <c r="K11" s="48" t="s">
        <v>82</v>
      </c>
      <c r="L11" s="34" t="s">
        <v>155</v>
      </c>
      <c r="M11" s="34" t="s">
        <v>156</v>
      </c>
      <c r="N11" s="34" t="s">
        <v>157</v>
      </c>
      <c r="O11" s="34" t="s">
        <v>158</v>
      </c>
      <c r="P11" s="34" t="s">
        <v>159</v>
      </c>
      <c r="Q11" s="34" t="s">
        <v>160</v>
      </c>
      <c r="R11" s="48" t="s">
        <v>83</v>
      </c>
      <c r="S11" s="48" t="s">
        <v>84</v>
      </c>
      <c r="T11" s="48" t="s">
        <v>85</v>
      </c>
      <c r="U11" s="48" t="s">
        <v>86</v>
      </c>
      <c r="V11" s="48" t="s">
        <v>113</v>
      </c>
      <c r="W11" s="48" t="s">
        <v>131</v>
      </c>
      <c r="X11" s="48" t="s">
        <v>109</v>
      </c>
      <c r="Y11" s="48" t="s">
        <v>110</v>
      </c>
      <c r="Z11" s="48" t="s">
        <v>87</v>
      </c>
      <c r="AA11" s="48" t="s">
        <v>88</v>
      </c>
      <c r="AB11" s="48" t="s">
        <v>89</v>
      </c>
      <c r="AC11" s="48" t="s">
        <v>90</v>
      </c>
      <c r="AD11" s="48" t="s">
        <v>91</v>
      </c>
      <c r="AE11" s="48" t="s">
        <v>92</v>
      </c>
      <c r="AF11" s="48" t="s">
        <v>93</v>
      </c>
    </row>
    <row r="12" spans="1:32" s="51" customFormat="1">
      <c r="A12" s="49">
        <v>20230401</v>
      </c>
      <c r="B12" s="49">
        <v>20231130</v>
      </c>
      <c r="C12" s="49" t="s">
        <v>94</v>
      </c>
      <c r="D12" s="49" t="s">
        <v>71</v>
      </c>
      <c r="E12" s="49" t="s">
        <v>137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>
        <v>110501</v>
      </c>
      <c r="U12" s="49" t="s">
        <v>154</v>
      </c>
      <c r="V12" s="49" t="s">
        <v>96</v>
      </c>
      <c r="W12" s="49"/>
      <c r="X12" s="49"/>
      <c r="Y12" s="49"/>
      <c r="Z12" s="50"/>
      <c r="AA12" s="49"/>
      <c r="AB12" s="49"/>
      <c r="AC12" s="49">
        <v>20000000</v>
      </c>
      <c r="AD12" s="49">
        <v>8000000</v>
      </c>
      <c r="AE12" s="49">
        <v>7000000</v>
      </c>
      <c r="AF12" s="49">
        <f>AD12-AE12+AC12</f>
        <v>21000000</v>
      </c>
    </row>
    <row r="13" spans="1:32" s="51" customFormat="1">
      <c r="A13" s="52">
        <v>20230401</v>
      </c>
      <c r="B13" s="52">
        <v>20231130</v>
      </c>
      <c r="C13" s="52" t="s">
        <v>94</v>
      </c>
      <c r="D13" s="52" t="s">
        <v>97</v>
      </c>
      <c r="E13" s="52" t="s">
        <v>137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>
        <v>110501</v>
      </c>
      <c r="U13" s="52" t="s">
        <v>154</v>
      </c>
      <c r="V13" s="52" t="s">
        <v>96</v>
      </c>
      <c r="W13" s="52"/>
      <c r="X13" s="52" t="s">
        <v>132</v>
      </c>
      <c r="Y13" s="52" t="s">
        <v>133</v>
      </c>
      <c r="Z13" s="53"/>
      <c r="AA13" s="52"/>
      <c r="AB13" s="52"/>
      <c r="AC13" s="52">
        <v>30000000</v>
      </c>
      <c r="AD13" s="52">
        <v>7000000</v>
      </c>
      <c r="AE13" s="52">
        <v>6000000</v>
      </c>
      <c r="AF13" s="52">
        <f t="shared" ref="AF13" si="0">AD13-AE13+AC13</f>
        <v>31000000</v>
      </c>
    </row>
    <row r="14" spans="1:32" s="51" customFormat="1">
      <c r="A14" s="49">
        <v>20230401</v>
      </c>
      <c r="B14" s="49">
        <v>20231130</v>
      </c>
      <c r="C14" s="49" t="s">
        <v>94</v>
      </c>
      <c r="D14" s="49" t="s">
        <v>71</v>
      </c>
      <c r="E14" s="49" t="s">
        <v>137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>
        <v>110901</v>
      </c>
      <c r="U14" s="49" t="s">
        <v>95</v>
      </c>
      <c r="V14" s="49" t="s">
        <v>97</v>
      </c>
      <c r="W14" s="49" t="s">
        <v>98</v>
      </c>
      <c r="X14" s="49"/>
      <c r="Y14" s="49"/>
      <c r="Z14" s="50"/>
      <c r="AA14" s="49"/>
      <c r="AB14" s="49"/>
      <c r="AC14" s="49">
        <v>20000000</v>
      </c>
      <c r="AD14" s="49">
        <v>8000000</v>
      </c>
      <c r="AE14" s="49">
        <v>7000000</v>
      </c>
      <c r="AF14" s="49">
        <f>AD14-AE14+AC14</f>
        <v>21000000</v>
      </c>
    </row>
    <row r="15" spans="1:32" s="51" customFormat="1">
      <c r="A15" s="52">
        <v>20230401</v>
      </c>
      <c r="B15" s="52">
        <v>20231130</v>
      </c>
      <c r="C15" s="52" t="s">
        <v>94</v>
      </c>
      <c r="D15" s="52" t="s">
        <v>97</v>
      </c>
      <c r="E15" s="52" t="s">
        <v>137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>
        <v>110901</v>
      </c>
      <c r="U15" s="52" t="s">
        <v>95</v>
      </c>
      <c r="V15" s="52" t="s">
        <v>97</v>
      </c>
      <c r="W15" s="52" t="s">
        <v>98</v>
      </c>
      <c r="X15" s="52" t="s">
        <v>132</v>
      </c>
      <c r="Y15" s="52" t="s">
        <v>133</v>
      </c>
      <c r="Z15" s="53"/>
      <c r="AA15" s="52"/>
      <c r="AB15" s="52"/>
      <c r="AC15" s="52">
        <v>30000000</v>
      </c>
      <c r="AD15" s="52">
        <v>7000000</v>
      </c>
      <c r="AE15" s="52">
        <v>6000000</v>
      </c>
      <c r="AF15" s="52">
        <f t="shared" ref="AF15:AF31" si="1">AD15-AE15+AC15</f>
        <v>31000000</v>
      </c>
    </row>
    <row r="16" spans="1:32" s="51" customFormat="1">
      <c r="A16" s="49">
        <v>20230401</v>
      </c>
      <c r="B16" s="49">
        <v>20231130</v>
      </c>
      <c r="C16" s="49" t="s">
        <v>94</v>
      </c>
      <c r="D16" s="49" t="s">
        <v>97</v>
      </c>
      <c r="E16" s="49" t="s">
        <v>137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>
        <v>110901</v>
      </c>
      <c r="U16" s="49" t="s">
        <v>95</v>
      </c>
      <c r="V16" s="49" t="s">
        <v>97</v>
      </c>
      <c r="W16" s="49" t="s">
        <v>98</v>
      </c>
      <c r="X16" s="49" t="s">
        <v>132</v>
      </c>
      <c r="Y16" s="49" t="s">
        <v>133</v>
      </c>
      <c r="Z16" s="50" t="s">
        <v>99</v>
      </c>
      <c r="AA16" s="49" t="s">
        <v>100</v>
      </c>
      <c r="AB16" s="49"/>
      <c r="AC16" s="49">
        <v>40000000</v>
      </c>
      <c r="AD16" s="49"/>
      <c r="AE16" s="49">
        <v>40000000</v>
      </c>
      <c r="AF16" s="49"/>
    </row>
    <row r="17" spans="1:32" s="51" customFormat="1">
      <c r="A17" s="52">
        <v>20230401</v>
      </c>
      <c r="B17" s="52">
        <v>20231130</v>
      </c>
      <c r="C17" s="52" t="s">
        <v>94</v>
      </c>
      <c r="D17" s="52" t="s">
        <v>97</v>
      </c>
      <c r="E17" s="52" t="s">
        <v>137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>
        <v>110901</v>
      </c>
      <c r="U17" s="52" t="s">
        <v>95</v>
      </c>
      <c r="V17" s="52" t="s">
        <v>97</v>
      </c>
      <c r="W17" s="52" t="s">
        <v>98</v>
      </c>
      <c r="X17" s="53">
        <v>300089008</v>
      </c>
      <c r="Y17" s="52" t="s">
        <v>153</v>
      </c>
      <c r="Z17" s="53"/>
      <c r="AA17" s="52"/>
      <c r="AB17" s="52"/>
      <c r="AC17" s="52">
        <v>30000000</v>
      </c>
      <c r="AD17" s="52">
        <v>7000000</v>
      </c>
      <c r="AE17" s="52">
        <v>6000000</v>
      </c>
      <c r="AF17" s="52">
        <f t="shared" si="1"/>
        <v>31000000</v>
      </c>
    </row>
    <row r="18" spans="1:32" s="51" customFormat="1">
      <c r="A18" s="49">
        <v>20230401</v>
      </c>
      <c r="B18" s="49">
        <v>20231130</v>
      </c>
      <c r="C18" s="49" t="s">
        <v>94</v>
      </c>
      <c r="D18" s="49" t="s">
        <v>97</v>
      </c>
      <c r="E18" s="49" t="s">
        <v>137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>
        <v>110901</v>
      </c>
      <c r="U18" s="49" t="s">
        <v>95</v>
      </c>
      <c r="V18" s="49" t="s">
        <v>97</v>
      </c>
      <c r="W18" s="49" t="s">
        <v>98</v>
      </c>
      <c r="X18" s="50">
        <v>300089008</v>
      </c>
      <c r="Y18" s="49" t="s">
        <v>153</v>
      </c>
      <c r="Z18" s="50" t="s">
        <v>99</v>
      </c>
      <c r="AA18" s="49" t="s">
        <v>100</v>
      </c>
      <c r="AB18" s="49"/>
      <c r="AC18" s="49">
        <v>1000000</v>
      </c>
      <c r="AD18" s="49">
        <v>2000000</v>
      </c>
      <c r="AE18" s="49">
        <v>4000000</v>
      </c>
      <c r="AF18" s="49">
        <f t="shared" si="1"/>
        <v>-1000000</v>
      </c>
    </row>
    <row r="19" spans="1:32" s="51" customFormat="1">
      <c r="A19" s="52">
        <v>20230401</v>
      </c>
      <c r="B19" s="52">
        <v>20231130</v>
      </c>
      <c r="C19" s="52" t="s">
        <v>94</v>
      </c>
      <c r="D19" s="52" t="s">
        <v>97</v>
      </c>
      <c r="E19" s="52" t="s">
        <v>137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>
        <v>110902</v>
      </c>
      <c r="U19" s="52" t="s">
        <v>101</v>
      </c>
      <c r="V19" s="52" t="s">
        <v>97</v>
      </c>
      <c r="W19" s="52" t="s">
        <v>98</v>
      </c>
      <c r="X19" s="52"/>
      <c r="Y19" s="52"/>
      <c r="Z19" s="53"/>
      <c r="AA19" s="52"/>
      <c r="AB19" s="52"/>
      <c r="AC19" s="52">
        <v>60000000</v>
      </c>
      <c r="AD19" s="52">
        <v>4000000</v>
      </c>
      <c r="AE19" s="52">
        <v>3000000</v>
      </c>
      <c r="AF19" s="52">
        <f t="shared" si="1"/>
        <v>61000000</v>
      </c>
    </row>
    <row r="20" spans="1:32" s="51" customFormat="1">
      <c r="A20" s="49">
        <v>20230401</v>
      </c>
      <c r="B20" s="49">
        <v>20231130</v>
      </c>
      <c r="C20" s="49" t="s">
        <v>94</v>
      </c>
      <c r="D20" s="49" t="s">
        <v>97</v>
      </c>
      <c r="E20" s="49" t="s">
        <v>137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>
        <v>110902</v>
      </c>
      <c r="U20" s="49" t="s">
        <v>101</v>
      </c>
      <c r="V20" s="49" t="s">
        <v>97</v>
      </c>
      <c r="W20" s="49" t="s">
        <v>98</v>
      </c>
      <c r="X20" s="49" t="s">
        <v>132</v>
      </c>
      <c r="Y20" s="49" t="s">
        <v>133</v>
      </c>
      <c r="Z20" s="50"/>
      <c r="AA20" s="49"/>
      <c r="AB20" s="49"/>
      <c r="AC20" s="49">
        <v>70000000</v>
      </c>
      <c r="AD20" s="49">
        <v>3000000</v>
      </c>
      <c r="AE20" s="49">
        <v>2000000</v>
      </c>
      <c r="AF20" s="49">
        <f t="shared" si="1"/>
        <v>71000000</v>
      </c>
    </row>
    <row r="21" spans="1:32" s="51" customFormat="1">
      <c r="A21" s="52">
        <v>20230401</v>
      </c>
      <c r="B21" s="52">
        <v>20231130</v>
      </c>
      <c r="C21" s="52" t="s">
        <v>94</v>
      </c>
      <c r="D21" s="52" t="s">
        <v>97</v>
      </c>
      <c r="E21" s="52" t="s">
        <v>137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>
        <v>110902</v>
      </c>
      <c r="U21" s="52" t="s">
        <v>101</v>
      </c>
      <c r="V21" s="52" t="s">
        <v>97</v>
      </c>
      <c r="W21" s="52" t="s">
        <v>98</v>
      </c>
      <c r="X21" s="52" t="s">
        <v>132</v>
      </c>
      <c r="Y21" s="52" t="s">
        <v>133</v>
      </c>
      <c r="Z21" s="53">
        <v>10002</v>
      </c>
      <c r="AA21" s="52" t="s">
        <v>103</v>
      </c>
      <c r="AB21" s="52"/>
      <c r="AC21" s="52">
        <v>80000000</v>
      </c>
      <c r="AD21" s="52">
        <v>2000000</v>
      </c>
      <c r="AE21" s="52">
        <v>8000000</v>
      </c>
      <c r="AF21" s="52">
        <f t="shared" si="1"/>
        <v>74000000</v>
      </c>
    </row>
    <row r="22" spans="1:32" s="51" customFormat="1">
      <c r="A22" s="49">
        <v>20230401</v>
      </c>
      <c r="B22" s="49">
        <v>20231130</v>
      </c>
      <c r="C22" s="49" t="s">
        <v>94</v>
      </c>
      <c r="D22" s="49" t="s">
        <v>169</v>
      </c>
      <c r="E22" s="49" t="s">
        <v>170</v>
      </c>
      <c r="F22" s="49"/>
      <c r="G22" s="49"/>
      <c r="H22" s="49"/>
      <c r="I22" s="49"/>
      <c r="J22" s="49"/>
      <c r="K22" s="49"/>
      <c r="L22" s="49" t="s">
        <v>164</v>
      </c>
      <c r="M22" s="49" t="s">
        <v>165</v>
      </c>
      <c r="N22" s="49"/>
      <c r="O22" s="49"/>
      <c r="P22" s="49"/>
      <c r="Q22" s="49"/>
      <c r="R22" s="49"/>
      <c r="S22" s="49"/>
      <c r="T22" s="49">
        <v>110501</v>
      </c>
      <c r="U22" s="49" t="s">
        <v>154</v>
      </c>
      <c r="V22" s="49" t="s">
        <v>96</v>
      </c>
      <c r="W22" s="49"/>
      <c r="X22" s="49"/>
      <c r="Y22" s="49"/>
      <c r="Z22" s="50"/>
      <c r="AA22" s="49"/>
      <c r="AB22" s="49"/>
      <c r="AC22" s="49">
        <v>20000000</v>
      </c>
      <c r="AD22" s="49">
        <v>8000000</v>
      </c>
      <c r="AE22" s="49">
        <v>7000000</v>
      </c>
      <c r="AF22" s="49">
        <f>AD22-AE22+AC22</f>
        <v>21000000</v>
      </c>
    </row>
    <row r="23" spans="1:32" s="51" customFormat="1">
      <c r="A23" s="52">
        <v>20230401</v>
      </c>
      <c r="B23" s="52">
        <v>20231130</v>
      </c>
      <c r="C23" s="52" t="s">
        <v>94</v>
      </c>
      <c r="D23" s="52" t="s">
        <v>169</v>
      </c>
      <c r="E23" s="52" t="s">
        <v>170</v>
      </c>
      <c r="F23" s="52"/>
      <c r="G23" s="52"/>
      <c r="H23" s="52"/>
      <c r="I23" s="52"/>
      <c r="J23" s="52"/>
      <c r="K23" s="52"/>
      <c r="L23" s="52" t="s">
        <v>164</v>
      </c>
      <c r="M23" s="52" t="s">
        <v>165</v>
      </c>
      <c r="N23" s="52"/>
      <c r="O23" s="52"/>
      <c r="P23" s="52"/>
      <c r="Q23" s="52"/>
      <c r="R23" s="52"/>
      <c r="S23" s="52"/>
      <c r="T23" s="52">
        <v>110501</v>
      </c>
      <c r="U23" s="52" t="s">
        <v>154</v>
      </c>
      <c r="V23" s="52" t="s">
        <v>96</v>
      </c>
      <c r="W23" s="52"/>
      <c r="X23" s="52" t="s">
        <v>132</v>
      </c>
      <c r="Y23" s="52" t="s">
        <v>133</v>
      </c>
      <c r="Z23" s="53"/>
      <c r="AA23" s="52"/>
      <c r="AB23" s="52"/>
      <c r="AC23" s="52">
        <v>30000000</v>
      </c>
      <c r="AD23" s="52">
        <v>7000000</v>
      </c>
      <c r="AE23" s="52">
        <v>6000000</v>
      </c>
      <c r="AF23" s="52">
        <f t="shared" ref="AF23" si="2">AD23-AE23+AC23</f>
        <v>31000000</v>
      </c>
    </row>
    <row r="24" spans="1:32" s="51" customFormat="1">
      <c r="A24" s="49">
        <v>20230401</v>
      </c>
      <c r="B24" s="49">
        <v>20231130</v>
      </c>
      <c r="C24" s="49" t="s">
        <v>94</v>
      </c>
      <c r="D24" s="49" t="s">
        <v>169</v>
      </c>
      <c r="E24" s="49" t="s">
        <v>170</v>
      </c>
      <c r="F24" s="49"/>
      <c r="G24" s="49"/>
      <c r="H24" s="49"/>
      <c r="I24" s="49"/>
      <c r="J24" s="49"/>
      <c r="K24" s="49"/>
      <c r="L24" s="49" t="s">
        <v>164</v>
      </c>
      <c r="M24" s="49" t="s">
        <v>165</v>
      </c>
      <c r="N24" s="49"/>
      <c r="O24" s="49"/>
      <c r="P24" s="49"/>
      <c r="Q24" s="49"/>
      <c r="R24" s="49"/>
      <c r="S24" s="49"/>
      <c r="T24" s="49">
        <v>110901</v>
      </c>
      <c r="U24" s="49" t="s">
        <v>95</v>
      </c>
      <c r="V24" s="49" t="s">
        <v>97</v>
      </c>
      <c r="W24" s="49" t="s">
        <v>98</v>
      </c>
      <c r="X24" s="49"/>
      <c r="Y24" s="49"/>
      <c r="Z24" s="50"/>
      <c r="AA24" s="49"/>
      <c r="AB24" s="49"/>
      <c r="AC24" s="49">
        <v>20000000</v>
      </c>
      <c r="AD24" s="49">
        <v>8000000</v>
      </c>
      <c r="AE24" s="49">
        <v>7000000</v>
      </c>
      <c r="AF24" s="49">
        <f t="shared" si="1"/>
        <v>21000000</v>
      </c>
    </row>
    <row r="25" spans="1:32" s="51" customFormat="1">
      <c r="A25" s="52">
        <v>20230401</v>
      </c>
      <c r="B25" s="52">
        <v>20231130</v>
      </c>
      <c r="C25" s="52" t="s">
        <v>94</v>
      </c>
      <c r="D25" s="52" t="s">
        <v>169</v>
      </c>
      <c r="E25" s="52" t="s">
        <v>170</v>
      </c>
      <c r="F25" s="52"/>
      <c r="G25" s="52"/>
      <c r="H25" s="52"/>
      <c r="I25" s="52"/>
      <c r="J25" s="52"/>
      <c r="K25" s="52"/>
      <c r="L25" s="52" t="s">
        <v>164</v>
      </c>
      <c r="M25" s="52" t="s">
        <v>165</v>
      </c>
      <c r="N25" s="52"/>
      <c r="O25" s="52"/>
      <c r="P25" s="52"/>
      <c r="Q25" s="52"/>
      <c r="R25" s="52"/>
      <c r="S25" s="52"/>
      <c r="T25" s="52">
        <v>110901</v>
      </c>
      <c r="U25" s="52" t="s">
        <v>95</v>
      </c>
      <c r="V25" s="52" t="s">
        <v>97</v>
      </c>
      <c r="W25" s="52" t="s">
        <v>98</v>
      </c>
      <c r="X25" s="52" t="s">
        <v>132</v>
      </c>
      <c r="Y25" s="52" t="s">
        <v>133</v>
      </c>
      <c r="Z25" s="53"/>
      <c r="AA25" s="52"/>
      <c r="AB25" s="52"/>
      <c r="AC25" s="52">
        <v>30000000</v>
      </c>
      <c r="AD25" s="52">
        <v>7000000</v>
      </c>
      <c r="AE25" s="52">
        <v>6000000</v>
      </c>
      <c r="AF25" s="52">
        <f t="shared" si="1"/>
        <v>31000000</v>
      </c>
    </row>
    <row r="26" spans="1:32" s="51" customFormat="1">
      <c r="A26" s="49">
        <v>20230401</v>
      </c>
      <c r="B26" s="49">
        <v>20231130</v>
      </c>
      <c r="C26" s="49" t="s">
        <v>94</v>
      </c>
      <c r="D26" s="49" t="s">
        <v>169</v>
      </c>
      <c r="E26" s="49" t="s">
        <v>170</v>
      </c>
      <c r="F26" s="49"/>
      <c r="G26" s="49"/>
      <c r="H26" s="49"/>
      <c r="I26" s="49"/>
      <c r="J26" s="49"/>
      <c r="K26" s="49"/>
      <c r="L26" s="49" t="s">
        <v>164</v>
      </c>
      <c r="M26" s="49" t="s">
        <v>165</v>
      </c>
      <c r="N26" s="49"/>
      <c r="O26" s="49"/>
      <c r="P26" s="49"/>
      <c r="Q26" s="49"/>
      <c r="R26" s="49"/>
      <c r="S26" s="49"/>
      <c r="T26" s="49">
        <v>110901</v>
      </c>
      <c r="U26" s="49" t="s">
        <v>95</v>
      </c>
      <c r="V26" s="49" t="s">
        <v>97</v>
      </c>
      <c r="W26" s="49" t="s">
        <v>98</v>
      </c>
      <c r="X26" s="49" t="s">
        <v>132</v>
      </c>
      <c r="Y26" s="49" t="s">
        <v>133</v>
      </c>
      <c r="Z26" s="50" t="s">
        <v>99</v>
      </c>
      <c r="AA26" s="49" t="s">
        <v>100</v>
      </c>
      <c r="AB26" s="49"/>
      <c r="AC26" s="49">
        <v>40000000</v>
      </c>
      <c r="AD26" s="49"/>
      <c r="AE26" s="49">
        <v>40000000</v>
      </c>
      <c r="AF26" s="49"/>
    </row>
    <row r="27" spans="1:32" s="51" customFormat="1">
      <c r="A27" s="52">
        <v>20230401</v>
      </c>
      <c r="B27" s="52">
        <v>20231130</v>
      </c>
      <c r="C27" s="52" t="s">
        <v>94</v>
      </c>
      <c r="D27" s="52" t="s">
        <v>169</v>
      </c>
      <c r="E27" s="52" t="s">
        <v>170</v>
      </c>
      <c r="F27" s="52"/>
      <c r="G27" s="52"/>
      <c r="H27" s="52"/>
      <c r="I27" s="52"/>
      <c r="J27" s="52"/>
      <c r="K27" s="52"/>
      <c r="L27" s="52" t="s">
        <v>164</v>
      </c>
      <c r="M27" s="52" t="s">
        <v>165</v>
      </c>
      <c r="N27" s="52"/>
      <c r="O27" s="52"/>
      <c r="P27" s="52"/>
      <c r="Q27" s="52"/>
      <c r="R27" s="52"/>
      <c r="S27" s="52"/>
      <c r="T27" s="52">
        <v>110901</v>
      </c>
      <c r="U27" s="52" t="s">
        <v>95</v>
      </c>
      <c r="V27" s="52" t="s">
        <v>97</v>
      </c>
      <c r="W27" s="52" t="s">
        <v>98</v>
      </c>
      <c r="X27" s="53">
        <v>300089008</v>
      </c>
      <c r="Y27" s="52" t="s">
        <v>153</v>
      </c>
      <c r="Z27" s="53"/>
      <c r="AA27" s="52"/>
      <c r="AB27" s="52"/>
      <c r="AC27" s="52">
        <v>30000000</v>
      </c>
      <c r="AD27" s="52">
        <v>7000000</v>
      </c>
      <c r="AE27" s="52">
        <v>6000000</v>
      </c>
      <c r="AF27" s="52">
        <f t="shared" si="1"/>
        <v>31000000</v>
      </c>
    </row>
    <row r="28" spans="1:32" s="51" customFormat="1">
      <c r="A28" s="49">
        <v>20230401</v>
      </c>
      <c r="B28" s="49">
        <v>20231130</v>
      </c>
      <c r="C28" s="49" t="s">
        <v>94</v>
      </c>
      <c r="D28" s="49" t="s">
        <v>169</v>
      </c>
      <c r="E28" s="49" t="s">
        <v>170</v>
      </c>
      <c r="F28" s="49"/>
      <c r="G28" s="49"/>
      <c r="H28" s="49"/>
      <c r="I28" s="49"/>
      <c r="J28" s="49"/>
      <c r="K28" s="49"/>
      <c r="L28" s="49" t="s">
        <v>164</v>
      </c>
      <c r="M28" s="49" t="s">
        <v>165</v>
      </c>
      <c r="N28" s="49"/>
      <c r="O28" s="49"/>
      <c r="P28" s="49"/>
      <c r="Q28" s="49"/>
      <c r="R28" s="49"/>
      <c r="S28" s="49"/>
      <c r="T28" s="49">
        <v>110901</v>
      </c>
      <c r="U28" s="49" t="s">
        <v>95</v>
      </c>
      <c r="V28" s="49" t="s">
        <v>97</v>
      </c>
      <c r="W28" s="49" t="s">
        <v>98</v>
      </c>
      <c r="X28" s="50">
        <v>300089008</v>
      </c>
      <c r="Y28" s="49" t="s">
        <v>153</v>
      </c>
      <c r="Z28" s="50" t="s">
        <v>99</v>
      </c>
      <c r="AA28" s="49" t="s">
        <v>100</v>
      </c>
      <c r="AB28" s="49"/>
      <c r="AC28" s="49">
        <v>1000000</v>
      </c>
      <c r="AD28" s="49">
        <v>2000000</v>
      </c>
      <c r="AE28" s="49">
        <v>4000000</v>
      </c>
      <c r="AF28" s="49">
        <f t="shared" si="1"/>
        <v>-1000000</v>
      </c>
    </row>
    <row r="29" spans="1:32" s="51" customFormat="1">
      <c r="A29" s="52">
        <v>20230401</v>
      </c>
      <c r="B29" s="52">
        <v>20231130</v>
      </c>
      <c r="C29" s="52" t="s">
        <v>94</v>
      </c>
      <c r="D29" s="52" t="s">
        <v>169</v>
      </c>
      <c r="E29" s="52" t="s">
        <v>170</v>
      </c>
      <c r="F29" s="52"/>
      <c r="G29" s="52"/>
      <c r="H29" s="52"/>
      <c r="I29" s="52"/>
      <c r="J29" s="52"/>
      <c r="K29" s="52"/>
      <c r="L29" s="52" t="s">
        <v>164</v>
      </c>
      <c r="M29" s="52" t="s">
        <v>165</v>
      </c>
      <c r="N29" s="52"/>
      <c r="O29" s="52"/>
      <c r="P29" s="52"/>
      <c r="Q29" s="52"/>
      <c r="R29" s="52"/>
      <c r="S29" s="52"/>
      <c r="T29" s="52">
        <v>110902</v>
      </c>
      <c r="U29" s="52" t="s">
        <v>101</v>
      </c>
      <c r="V29" s="52" t="s">
        <v>97</v>
      </c>
      <c r="W29" s="52" t="s">
        <v>98</v>
      </c>
      <c r="X29" s="52"/>
      <c r="Y29" s="52"/>
      <c r="Z29" s="53"/>
      <c r="AA29" s="52"/>
      <c r="AB29" s="52"/>
      <c r="AC29" s="52">
        <v>60000000</v>
      </c>
      <c r="AD29" s="52">
        <v>4000000</v>
      </c>
      <c r="AE29" s="52">
        <v>3000000</v>
      </c>
      <c r="AF29" s="52">
        <f t="shared" si="1"/>
        <v>61000000</v>
      </c>
    </row>
    <row r="30" spans="1:32" s="51" customFormat="1">
      <c r="A30" s="49">
        <v>20230401</v>
      </c>
      <c r="B30" s="49">
        <v>20231130</v>
      </c>
      <c r="C30" s="49" t="s">
        <v>94</v>
      </c>
      <c r="D30" s="49" t="s">
        <v>169</v>
      </c>
      <c r="E30" s="49" t="s">
        <v>170</v>
      </c>
      <c r="F30" s="49"/>
      <c r="G30" s="49"/>
      <c r="H30" s="49"/>
      <c r="I30" s="49"/>
      <c r="J30" s="49"/>
      <c r="K30" s="49"/>
      <c r="L30" s="49" t="s">
        <v>164</v>
      </c>
      <c r="M30" s="49" t="s">
        <v>165</v>
      </c>
      <c r="N30" s="49"/>
      <c r="O30" s="49"/>
      <c r="P30" s="49"/>
      <c r="Q30" s="49"/>
      <c r="R30" s="49"/>
      <c r="S30" s="49"/>
      <c r="T30" s="49">
        <v>110902</v>
      </c>
      <c r="U30" s="49" t="s">
        <v>101</v>
      </c>
      <c r="V30" s="49" t="s">
        <v>97</v>
      </c>
      <c r="W30" s="49" t="s">
        <v>98</v>
      </c>
      <c r="X30" s="49" t="s">
        <v>132</v>
      </c>
      <c r="Y30" s="49" t="s">
        <v>133</v>
      </c>
      <c r="Z30" s="50"/>
      <c r="AA30" s="49"/>
      <c r="AB30" s="49"/>
      <c r="AC30" s="49">
        <v>70000000</v>
      </c>
      <c r="AD30" s="49">
        <v>3000000</v>
      </c>
      <c r="AE30" s="49">
        <v>2000000</v>
      </c>
      <c r="AF30" s="49">
        <f t="shared" si="1"/>
        <v>71000000</v>
      </c>
    </row>
    <row r="31" spans="1:32" s="51" customFormat="1">
      <c r="A31" s="52">
        <v>20230401</v>
      </c>
      <c r="B31" s="52">
        <v>20231130</v>
      </c>
      <c r="C31" s="52" t="s">
        <v>94</v>
      </c>
      <c r="D31" s="52" t="s">
        <v>169</v>
      </c>
      <c r="E31" s="52" t="s">
        <v>170</v>
      </c>
      <c r="F31" s="52"/>
      <c r="G31" s="52"/>
      <c r="H31" s="52"/>
      <c r="I31" s="52"/>
      <c r="J31" s="52"/>
      <c r="K31" s="52"/>
      <c r="L31" s="52" t="s">
        <v>164</v>
      </c>
      <c r="M31" s="52" t="s">
        <v>165</v>
      </c>
      <c r="N31" s="52"/>
      <c r="O31" s="52"/>
      <c r="P31" s="52"/>
      <c r="Q31" s="52"/>
      <c r="R31" s="52"/>
      <c r="S31" s="52"/>
      <c r="T31" s="52">
        <v>110902</v>
      </c>
      <c r="U31" s="52" t="s">
        <v>101</v>
      </c>
      <c r="V31" s="52" t="s">
        <v>97</v>
      </c>
      <c r="W31" s="52" t="s">
        <v>98</v>
      </c>
      <c r="X31" s="52" t="s">
        <v>132</v>
      </c>
      <c r="Y31" s="52" t="s">
        <v>133</v>
      </c>
      <c r="Z31" s="53">
        <v>10002</v>
      </c>
      <c r="AA31" s="52" t="s">
        <v>103</v>
      </c>
      <c r="AB31" s="52"/>
      <c r="AC31" s="52">
        <v>80000000</v>
      </c>
      <c r="AD31" s="52">
        <v>2000000</v>
      </c>
      <c r="AE31" s="52">
        <v>7000000</v>
      </c>
      <c r="AF31" s="52">
        <f t="shared" si="1"/>
        <v>75000000</v>
      </c>
    </row>
    <row r="32" spans="1:32" s="51" customFormat="1">
      <c r="A32" s="49">
        <v>20230401</v>
      </c>
      <c r="B32" s="49">
        <v>20231130</v>
      </c>
      <c r="C32" s="49" t="s">
        <v>94</v>
      </c>
      <c r="D32" s="49" t="s">
        <v>168</v>
      </c>
      <c r="E32" s="49" t="s">
        <v>250</v>
      </c>
      <c r="F32" s="49"/>
      <c r="G32" s="49"/>
      <c r="H32" s="49"/>
      <c r="I32" s="49"/>
      <c r="J32" s="49"/>
      <c r="K32" s="49"/>
      <c r="L32" s="49" t="s">
        <v>164</v>
      </c>
      <c r="M32" s="49" t="s">
        <v>165</v>
      </c>
      <c r="N32" s="49" t="s">
        <v>166</v>
      </c>
      <c r="O32" s="49" t="s">
        <v>167</v>
      </c>
      <c r="P32" s="49"/>
      <c r="Q32" s="49"/>
      <c r="R32" s="49"/>
      <c r="S32" s="49"/>
      <c r="T32" s="49">
        <v>110501</v>
      </c>
      <c r="U32" s="49" t="s">
        <v>154</v>
      </c>
      <c r="V32" s="49" t="s">
        <v>96</v>
      </c>
      <c r="W32" s="49"/>
      <c r="X32" s="49"/>
      <c r="Y32" s="49"/>
      <c r="Z32" s="50"/>
      <c r="AA32" s="49"/>
      <c r="AB32" s="49"/>
      <c r="AC32" s="49">
        <v>5000000</v>
      </c>
      <c r="AD32" s="49">
        <v>2000000</v>
      </c>
      <c r="AE32" s="49">
        <v>1750000</v>
      </c>
      <c r="AF32" s="49">
        <f>AD32-AE32+AC32</f>
        <v>5250000</v>
      </c>
    </row>
    <row r="33" spans="1:32" s="51" customFormat="1">
      <c r="A33" s="52">
        <v>20230401</v>
      </c>
      <c r="B33" s="52">
        <v>20231130</v>
      </c>
      <c r="C33" s="52" t="s">
        <v>94</v>
      </c>
      <c r="D33" s="52" t="s">
        <v>168</v>
      </c>
      <c r="E33" s="52" t="s">
        <v>250</v>
      </c>
      <c r="F33" s="52"/>
      <c r="G33" s="52"/>
      <c r="H33" s="52"/>
      <c r="I33" s="52"/>
      <c r="J33" s="52"/>
      <c r="K33" s="52"/>
      <c r="L33" s="52" t="s">
        <v>164</v>
      </c>
      <c r="M33" s="52" t="s">
        <v>165</v>
      </c>
      <c r="N33" s="52" t="s">
        <v>166</v>
      </c>
      <c r="O33" s="52" t="s">
        <v>167</v>
      </c>
      <c r="P33" s="52"/>
      <c r="Q33" s="52"/>
      <c r="R33" s="52"/>
      <c r="S33" s="52"/>
      <c r="T33" s="52">
        <v>110501</v>
      </c>
      <c r="U33" s="52" t="s">
        <v>154</v>
      </c>
      <c r="V33" s="52" t="s">
        <v>96</v>
      </c>
      <c r="W33" s="52"/>
      <c r="X33" s="52" t="s">
        <v>132</v>
      </c>
      <c r="Y33" s="52" t="s">
        <v>133</v>
      </c>
      <c r="Z33" s="53"/>
      <c r="AA33" s="52"/>
      <c r="AB33" s="52"/>
      <c r="AC33" s="52">
        <v>7500000</v>
      </c>
      <c r="AD33" s="52">
        <v>1750000</v>
      </c>
      <c r="AE33" s="52">
        <v>1500000</v>
      </c>
      <c r="AF33" s="52">
        <f t="shared" ref="AF33:AF35" si="3">AD33-AE33+AC33</f>
        <v>7750000</v>
      </c>
    </row>
    <row r="34" spans="1:32" s="51" customFormat="1">
      <c r="A34" s="49">
        <v>20230401</v>
      </c>
      <c r="B34" s="49">
        <v>20231130</v>
      </c>
      <c r="C34" s="49" t="s">
        <v>94</v>
      </c>
      <c r="D34" s="49" t="s">
        <v>168</v>
      </c>
      <c r="E34" s="49" t="s">
        <v>250</v>
      </c>
      <c r="F34" s="49"/>
      <c r="G34" s="49"/>
      <c r="H34" s="49"/>
      <c r="I34" s="49"/>
      <c r="J34" s="49"/>
      <c r="K34" s="49"/>
      <c r="L34" s="49" t="s">
        <v>164</v>
      </c>
      <c r="M34" s="49" t="s">
        <v>165</v>
      </c>
      <c r="N34" s="49" t="s">
        <v>166</v>
      </c>
      <c r="O34" s="49" t="s">
        <v>167</v>
      </c>
      <c r="P34" s="49"/>
      <c r="Q34" s="49"/>
      <c r="R34" s="49"/>
      <c r="S34" s="49"/>
      <c r="T34" s="49">
        <v>110901</v>
      </c>
      <c r="U34" s="49" t="s">
        <v>95</v>
      </c>
      <c r="V34" s="49" t="s">
        <v>97</v>
      </c>
      <c r="W34" s="49" t="s">
        <v>98</v>
      </c>
      <c r="X34" s="49"/>
      <c r="Y34" s="49"/>
      <c r="Z34" s="50"/>
      <c r="AA34" s="49"/>
      <c r="AB34" s="49"/>
      <c r="AC34" s="49">
        <v>5000000</v>
      </c>
      <c r="AD34" s="49">
        <v>2000000</v>
      </c>
      <c r="AE34" s="49">
        <v>1750000</v>
      </c>
      <c r="AF34" s="49">
        <f t="shared" si="3"/>
        <v>5250000</v>
      </c>
    </row>
    <row r="35" spans="1:32" s="51" customFormat="1">
      <c r="A35" s="52">
        <v>20230401</v>
      </c>
      <c r="B35" s="52">
        <v>20231130</v>
      </c>
      <c r="C35" s="52" t="s">
        <v>94</v>
      </c>
      <c r="D35" s="52" t="s">
        <v>168</v>
      </c>
      <c r="E35" s="52" t="s">
        <v>250</v>
      </c>
      <c r="F35" s="52"/>
      <c r="G35" s="52"/>
      <c r="H35" s="52"/>
      <c r="I35" s="52"/>
      <c r="J35" s="52"/>
      <c r="K35" s="52"/>
      <c r="L35" s="52" t="s">
        <v>164</v>
      </c>
      <c r="M35" s="52" t="s">
        <v>165</v>
      </c>
      <c r="N35" s="52" t="s">
        <v>166</v>
      </c>
      <c r="O35" s="52" t="s">
        <v>167</v>
      </c>
      <c r="P35" s="52"/>
      <c r="Q35" s="52"/>
      <c r="R35" s="52"/>
      <c r="S35" s="52"/>
      <c r="T35" s="52">
        <v>110901</v>
      </c>
      <c r="U35" s="52" t="s">
        <v>95</v>
      </c>
      <c r="V35" s="52" t="s">
        <v>97</v>
      </c>
      <c r="W35" s="52" t="s">
        <v>98</v>
      </c>
      <c r="X35" s="52" t="s">
        <v>132</v>
      </c>
      <c r="Y35" s="52" t="s">
        <v>133</v>
      </c>
      <c r="Z35" s="53"/>
      <c r="AA35" s="52"/>
      <c r="AB35" s="52"/>
      <c r="AC35" s="52">
        <v>7500000</v>
      </c>
      <c r="AD35" s="52">
        <v>1750000</v>
      </c>
      <c r="AE35" s="52">
        <v>1500000</v>
      </c>
      <c r="AF35" s="52">
        <f t="shared" si="3"/>
        <v>7750000</v>
      </c>
    </row>
    <row r="36" spans="1:32" s="51" customFormat="1">
      <c r="A36" s="49">
        <v>20230401</v>
      </c>
      <c r="B36" s="49">
        <v>20231130</v>
      </c>
      <c r="C36" s="49" t="s">
        <v>94</v>
      </c>
      <c r="D36" s="49" t="s">
        <v>168</v>
      </c>
      <c r="E36" s="49" t="s">
        <v>250</v>
      </c>
      <c r="F36" s="49"/>
      <c r="G36" s="49"/>
      <c r="H36" s="49"/>
      <c r="I36" s="49"/>
      <c r="J36" s="49"/>
      <c r="K36" s="49"/>
      <c r="L36" s="49" t="s">
        <v>164</v>
      </c>
      <c r="M36" s="49" t="s">
        <v>165</v>
      </c>
      <c r="N36" s="49" t="s">
        <v>166</v>
      </c>
      <c r="O36" s="49" t="s">
        <v>167</v>
      </c>
      <c r="P36" s="49"/>
      <c r="Q36" s="49"/>
      <c r="R36" s="49"/>
      <c r="S36" s="49"/>
      <c r="T36" s="49">
        <v>110901</v>
      </c>
      <c r="U36" s="49" t="s">
        <v>95</v>
      </c>
      <c r="V36" s="49" t="s">
        <v>97</v>
      </c>
      <c r="W36" s="49" t="s">
        <v>98</v>
      </c>
      <c r="X36" s="49" t="s">
        <v>132</v>
      </c>
      <c r="Y36" s="49" t="s">
        <v>133</v>
      </c>
      <c r="Z36" s="50" t="s">
        <v>99</v>
      </c>
      <c r="AA36" s="49" t="s">
        <v>100</v>
      </c>
      <c r="AB36" s="49"/>
      <c r="AC36" s="49">
        <v>10000000</v>
      </c>
      <c r="AD36" s="49"/>
      <c r="AE36" s="49">
        <v>10000000</v>
      </c>
      <c r="AF36" s="49"/>
    </row>
    <row r="37" spans="1:32" s="51" customFormat="1">
      <c r="A37" s="52">
        <v>20230401</v>
      </c>
      <c r="B37" s="52">
        <v>20231130</v>
      </c>
      <c r="C37" s="52" t="s">
        <v>94</v>
      </c>
      <c r="D37" s="52" t="s">
        <v>168</v>
      </c>
      <c r="E37" s="52" t="s">
        <v>250</v>
      </c>
      <c r="F37" s="52"/>
      <c r="G37" s="52"/>
      <c r="H37" s="52"/>
      <c r="I37" s="52"/>
      <c r="J37" s="52"/>
      <c r="K37" s="52"/>
      <c r="L37" s="52" t="s">
        <v>164</v>
      </c>
      <c r="M37" s="52" t="s">
        <v>165</v>
      </c>
      <c r="N37" s="52" t="s">
        <v>166</v>
      </c>
      <c r="O37" s="52" t="s">
        <v>167</v>
      </c>
      <c r="P37" s="52"/>
      <c r="Q37" s="52"/>
      <c r="R37" s="52"/>
      <c r="S37" s="52"/>
      <c r="T37" s="52">
        <v>110901</v>
      </c>
      <c r="U37" s="52" t="s">
        <v>95</v>
      </c>
      <c r="V37" s="52" t="s">
        <v>97</v>
      </c>
      <c r="W37" s="52" t="s">
        <v>98</v>
      </c>
      <c r="X37" s="53">
        <v>300089008</v>
      </c>
      <c r="Y37" s="52" t="s">
        <v>153</v>
      </c>
      <c r="Z37" s="53"/>
      <c r="AA37" s="52"/>
      <c r="AB37" s="52"/>
      <c r="AC37" s="52">
        <v>7500000</v>
      </c>
      <c r="AD37" s="52">
        <v>1750000</v>
      </c>
      <c r="AE37" s="52">
        <v>1500000</v>
      </c>
      <c r="AF37" s="52">
        <f t="shared" ref="AF37:AF41" si="4">AD37-AE37+AC37</f>
        <v>7750000</v>
      </c>
    </row>
    <row r="38" spans="1:32" s="51" customFormat="1">
      <c r="A38" s="49">
        <v>20230401</v>
      </c>
      <c r="B38" s="49">
        <v>20231130</v>
      </c>
      <c r="C38" s="49" t="s">
        <v>94</v>
      </c>
      <c r="D38" s="49" t="s">
        <v>168</v>
      </c>
      <c r="E38" s="49" t="s">
        <v>250</v>
      </c>
      <c r="F38" s="49"/>
      <c r="G38" s="49"/>
      <c r="H38" s="49"/>
      <c r="I38" s="49"/>
      <c r="J38" s="49"/>
      <c r="K38" s="49"/>
      <c r="L38" s="49" t="s">
        <v>164</v>
      </c>
      <c r="M38" s="49" t="s">
        <v>165</v>
      </c>
      <c r="N38" s="49" t="s">
        <v>166</v>
      </c>
      <c r="O38" s="49" t="s">
        <v>167</v>
      </c>
      <c r="P38" s="49"/>
      <c r="Q38" s="49"/>
      <c r="R38" s="49"/>
      <c r="S38" s="49"/>
      <c r="T38" s="49">
        <v>110901</v>
      </c>
      <c r="U38" s="49" t="s">
        <v>95</v>
      </c>
      <c r="V38" s="49" t="s">
        <v>97</v>
      </c>
      <c r="W38" s="49" t="s">
        <v>98</v>
      </c>
      <c r="X38" s="50">
        <v>300089008</v>
      </c>
      <c r="Y38" s="49" t="s">
        <v>153</v>
      </c>
      <c r="Z38" s="50" t="s">
        <v>99</v>
      </c>
      <c r="AA38" s="49" t="s">
        <v>100</v>
      </c>
      <c r="AB38" s="49"/>
      <c r="AC38" s="49">
        <v>250000</v>
      </c>
      <c r="AD38" s="49">
        <v>500000</v>
      </c>
      <c r="AE38" s="49">
        <v>1000000</v>
      </c>
      <c r="AF38" s="49">
        <f t="shared" si="4"/>
        <v>-250000</v>
      </c>
    </row>
    <row r="39" spans="1:32" s="51" customFormat="1">
      <c r="A39" s="52">
        <v>20230401</v>
      </c>
      <c r="B39" s="52">
        <v>20231130</v>
      </c>
      <c r="C39" s="52" t="s">
        <v>94</v>
      </c>
      <c r="D39" s="52" t="s">
        <v>168</v>
      </c>
      <c r="E39" s="52" t="s">
        <v>250</v>
      </c>
      <c r="F39" s="52"/>
      <c r="G39" s="52"/>
      <c r="H39" s="52"/>
      <c r="I39" s="52"/>
      <c r="J39" s="52"/>
      <c r="K39" s="52"/>
      <c r="L39" s="52" t="s">
        <v>164</v>
      </c>
      <c r="M39" s="52" t="s">
        <v>165</v>
      </c>
      <c r="N39" s="52" t="s">
        <v>166</v>
      </c>
      <c r="O39" s="52" t="s">
        <v>167</v>
      </c>
      <c r="P39" s="52"/>
      <c r="Q39" s="52"/>
      <c r="R39" s="52"/>
      <c r="S39" s="52"/>
      <c r="T39" s="52">
        <v>110902</v>
      </c>
      <c r="U39" s="52" t="s">
        <v>101</v>
      </c>
      <c r="V39" s="52" t="s">
        <v>97</v>
      </c>
      <c r="W39" s="52" t="s">
        <v>98</v>
      </c>
      <c r="X39" s="52"/>
      <c r="Y39" s="52"/>
      <c r="Z39" s="53"/>
      <c r="AA39" s="52"/>
      <c r="AB39" s="52"/>
      <c r="AC39" s="52">
        <v>15000000</v>
      </c>
      <c r="AD39" s="52">
        <v>1000000</v>
      </c>
      <c r="AE39" s="52">
        <v>750000</v>
      </c>
      <c r="AF39" s="52">
        <f t="shared" si="4"/>
        <v>15250000</v>
      </c>
    </row>
    <row r="40" spans="1:32" s="51" customFormat="1">
      <c r="A40" s="49">
        <v>20230401</v>
      </c>
      <c r="B40" s="49">
        <v>20231130</v>
      </c>
      <c r="C40" s="49" t="s">
        <v>94</v>
      </c>
      <c r="D40" s="49" t="s">
        <v>168</v>
      </c>
      <c r="E40" s="49" t="s">
        <v>250</v>
      </c>
      <c r="F40" s="49"/>
      <c r="G40" s="49"/>
      <c r="H40" s="49"/>
      <c r="I40" s="49"/>
      <c r="J40" s="49"/>
      <c r="K40" s="49"/>
      <c r="L40" s="49" t="s">
        <v>164</v>
      </c>
      <c r="M40" s="49" t="s">
        <v>165</v>
      </c>
      <c r="N40" s="49" t="s">
        <v>166</v>
      </c>
      <c r="O40" s="49" t="s">
        <v>167</v>
      </c>
      <c r="P40" s="49"/>
      <c r="Q40" s="49"/>
      <c r="R40" s="49"/>
      <c r="S40" s="49"/>
      <c r="T40" s="49">
        <v>110902</v>
      </c>
      <c r="U40" s="49" t="s">
        <v>101</v>
      </c>
      <c r="V40" s="49" t="s">
        <v>97</v>
      </c>
      <c r="W40" s="49" t="s">
        <v>98</v>
      </c>
      <c r="X40" s="49" t="s">
        <v>132</v>
      </c>
      <c r="Y40" s="49" t="s">
        <v>133</v>
      </c>
      <c r="Z40" s="50"/>
      <c r="AA40" s="49"/>
      <c r="AB40" s="49"/>
      <c r="AC40" s="49">
        <v>17500000</v>
      </c>
      <c r="AD40" s="49">
        <v>750000</v>
      </c>
      <c r="AE40" s="49">
        <v>500000</v>
      </c>
      <c r="AF40" s="49">
        <f t="shared" si="4"/>
        <v>17750000</v>
      </c>
    </row>
    <row r="41" spans="1:32" s="51" customFormat="1">
      <c r="A41" s="52">
        <v>20230401</v>
      </c>
      <c r="B41" s="52">
        <v>20231130</v>
      </c>
      <c r="C41" s="52" t="s">
        <v>94</v>
      </c>
      <c r="D41" s="52" t="s">
        <v>168</v>
      </c>
      <c r="E41" s="52" t="s">
        <v>250</v>
      </c>
      <c r="F41" s="52"/>
      <c r="G41" s="52"/>
      <c r="H41" s="52"/>
      <c r="I41" s="52"/>
      <c r="J41" s="52"/>
      <c r="K41" s="52"/>
      <c r="L41" s="52" t="s">
        <v>164</v>
      </c>
      <c r="M41" s="52" t="s">
        <v>165</v>
      </c>
      <c r="N41" s="52" t="s">
        <v>166</v>
      </c>
      <c r="O41" s="52" t="s">
        <v>167</v>
      </c>
      <c r="P41" s="52"/>
      <c r="Q41" s="52"/>
      <c r="R41" s="52"/>
      <c r="S41" s="52"/>
      <c r="T41" s="52">
        <v>110902</v>
      </c>
      <c r="U41" s="52" t="s">
        <v>101</v>
      </c>
      <c r="V41" s="52" t="s">
        <v>97</v>
      </c>
      <c r="W41" s="52" t="s">
        <v>98</v>
      </c>
      <c r="X41" s="52" t="s">
        <v>132</v>
      </c>
      <c r="Y41" s="52" t="s">
        <v>133</v>
      </c>
      <c r="Z41" s="53">
        <v>10002</v>
      </c>
      <c r="AA41" s="52" t="s">
        <v>103</v>
      </c>
      <c r="AB41" s="52"/>
      <c r="AC41" s="52">
        <v>20000000</v>
      </c>
      <c r="AD41" s="52">
        <v>500000</v>
      </c>
      <c r="AE41" s="52">
        <v>1750000</v>
      </c>
      <c r="AF41" s="52">
        <f t="shared" si="4"/>
        <v>18750000</v>
      </c>
    </row>
    <row r="42" spans="1:32" s="51" customFormat="1">
      <c r="A42" s="49">
        <v>20230401</v>
      </c>
      <c r="B42" s="49">
        <v>20231130</v>
      </c>
      <c r="C42" s="49" t="s">
        <v>94</v>
      </c>
      <c r="D42" s="49" t="s">
        <v>168</v>
      </c>
      <c r="E42" s="49" t="s">
        <v>250</v>
      </c>
      <c r="F42" s="49"/>
      <c r="G42" s="49"/>
      <c r="H42" s="49"/>
      <c r="I42" s="49"/>
      <c r="J42" s="49"/>
      <c r="K42" s="49"/>
      <c r="L42" s="49" t="s">
        <v>164</v>
      </c>
      <c r="M42" s="49" t="s">
        <v>165</v>
      </c>
      <c r="N42" s="49"/>
      <c r="O42" s="49"/>
      <c r="P42" s="49"/>
      <c r="Q42" s="49"/>
      <c r="R42" s="49"/>
      <c r="S42" s="49"/>
      <c r="T42" s="49">
        <v>110501</v>
      </c>
      <c r="U42" s="49" t="s">
        <v>154</v>
      </c>
      <c r="V42" s="49" t="s">
        <v>96</v>
      </c>
      <c r="W42" s="49"/>
      <c r="X42" s="49"/>
      <c r="Y42" s="49"/>
      <c r="Z42" s="50"/>
      <c r="AA42" s="49"/>
      <c r="AB42" s="49"/>
      <c r="AC42" s="49">
        <f>AC72+AC82+AC92</f>
        <v>15000000</v>
      </c>
      <c r="AD42" s="49">
        <f t="shared" ref="AD42:AE42" si="5">AD72+AD82+AD92</f>
        <v>6000000</v>
      </c>
      <c r="AE42" s="49">
        <f t="shared" si="5"/>
        <v>5250000</v>
      </c>
      <c r="AF42" s="49">
        <f>AD42-AE42+AC42</f>
        <v>15750000</v>
      </c>
    </row>
    <row r="43" spans="1:32" s="51" customFormat="1">
      <c r="A43" s="52">
        <v>20230401</v>
      </c>
      <c r="B43" s="52">
        <v>20231130</v>
      </c>
      <c r="C43" s="52" t="s">
        <v>94</v>
      </c>
      <c r="D43" s="52" t="s">
        <v>168</v>
      </c>
      <c r="E43" s="52" t="s">
        <v>250</v>
      </c>
      <c r="F43" s="52"/>
      <c r="G43" s="52"/>
      <c r="H43" s="52"/>
      <c r="I43" s="52"/>
      <c r="J43" s="52"/>
      <c r="K43" s="52"/>
      <c r="L43" s="52" t="s">
        <v>164</v>
      </c>
      <c r="M43" s="52" t="s">
        <v>165</v>
      </c>
      <c r="N43" s="52"/>
      <c r="O43" s="52"/>
      <c r="P43" s="52"/>
      <c r="Q43" s="52"/>
      <c r="R43" s="52"/>
      <c r="S43" s="52"/>
      <c r="T43" s="52">
        <v>110501</v>
      </c>
      <c r="U43" s="52" t="s">
        <v>154</v>
      </c>
      <c r="V43" s="52" t="s">
        <v>96</v>
      </c>
      <c r="W43" s="52"/>
      <c r="X43" s="52" t="s">
        <v>132</v>
      </c>
      <c r="Y43" s="52" t="s">
        <v>133</v>
      </c>
      <c r="Z43" s="53"/>
      <c r="AA43" s="52"/>
      <c r="AB43" s="52"/>
      <c r="AC43" s="52">
        <f t="shared" ref="AC43:AE51" si="6">AC73+AC83+AC93</f>
        <v>22500000</v>
      </c>
      <c r="AD43" s="52">
        <f t="shared" si="6"/>
        <v>5250000</v>
      </c>
      <c r="AE43" s="52">
        <f t="shared" si="6"/>
        <v>4500000</v>
      </c>
      <c r="AF43" s="52">
        <f t="shared" ref="AF43:AF45" si="7">AD43-AE43+AC43</f>
        <v>23250000</v>
      </c>
    </row>
    <row r="44" spans="1:32" s="51" customFormat="1">
      <c r="A44" s="49">
        <v>20230401</v>
      </c>
      <c r="B44" s="49">
        <v>20231130</v>
      </c>
      <c r="C44" s="49" t="s">
        <v>94</v>
      </c>
      <c r="D44" s="49" t="s">
        <v>168</v>
      </c>
      <c r="E44" s="49" t="s">
        <v>250</v>
      </c>
      <c r="F44" s="49"/>
      <c r="G44" s="49"/>
      <c r="H44" s="49"/>
      <c r="I44" s="49"/>
      <c r="J44" s="49"/>
      <c r="K44" s="49"/>
      <c r="L44" s="49" t="s">
        <v>164</v>
      </c>
      <c r="M44" s="49" t="s">
        <v>165</v>
      </c>
      <c r="N44" s="49"/>
      <c r="O44" s="49"/>
      <c r="P44" s="49"/>
      <c r="Q44" s="49"/>
      <c r="R44" s="49"/>
      <c r="S44" s="49"/>
      <c r="T44" s="49">
        <v>110901</v>
      </c>
      <c r="U44" s="49" t="s">
        <v>95</v>
      </c>
      <c r="V44" s="49" t="s">
        <v>97</v>
      </c>
      <c r="W44" s="49" t="s">
        <v>98</v>
      </c>
      <c r="X44" s="49"/>
      <c r="Y44" s="49"/>
      <c r="Z44" s="50"/>
      <c r="AA44" s="49"/>
      <c r="AB44" s="49"/>
      <c r="AC44" s="49">
        <f t="shared" si="6"/>
        <v>15000000</v>
      </c>
      <c r="AD44" s="49">
        <f t="shared" si="6"/>
        <v>6000000</v>
      </c>
      <c r="AE44" s="49">
        <f t="shared" si="6"/>
        <v>5250000</v>
      </c>
      <c r="AF44" s="49">
        <f t="shared" si="7"/>
        <v>15750000</v>
      </c>
    </row>
    <row r="45" spans="1:32" s="51" customFormat="1">
      <c r="A45" s="52">
        <v>20230401</v>
      </c>
      <c r="B45" s="52">
        <v>20231130</v>
      </c>
      <c r="C45" s="52" t="s">
        <v>94</v>
      </c>
      <c r="D45" s="52" t="s">
        <v>168</v>
      </c>
      <c r="E45" s="52" t="s">
        <v>250</v>
      </c>
      <c r="F45" s="52"/>
      <c r="G45" s="52"/>
      <c r="H45" s="52"/>
      <c r="I45" s="52"/>
      <c r="J45" s="52"/>
      <c r="K45" s="52"/>
      <c r="L45" s="52" t="s">
        <v>164</v>
      </c>
      <c r="M45" s="52" t="s">
        <v>165</v>
      </c>
      <c r="N45" s="52"/>
      <c r="O45" s="52"/>
      <c r="P45" s="52"/>
      <c r="Q45" s="52"/>
      <c r="R45" s="52"/>
      <c r="S45" s="52"/>
      <c r="T45" s="52">
        <v>110901</v>
      </c>
      <c r="U45" s="52" t="s">
        <v>95</v>
      </c>
      <c r="V45" s="52" t="s">
        <v>97</v>
      </c>
      <c r="W45" s="52" t="s">
        <v>98</v>
      </c>
      <c r="X45" s="52" t="s">
        <v>132</v>
      </c>
      <c r="Y45" s="52" t="s">
        <v>133</v>
      </c>
      <c r="Z45" s="53"/>
      <c r="AA45" s="52"/>
      <c r="AB45" s="52"/>
      <c r="AC45" s="52">
        <f t="shared" si="6"/>
        <v>22500000</v>
      </c>
      <c r="AD45" s="52">
        <f t="shared" si="6"/>
        <v>5250000</v>
      </c>
      <c r="AE45" s="52">
        <f t="shared" si="6"/>
        <v>4500000</v>
      </c>
      <c r="AF45" s="52">
        <f t="shared" si="7"/>
        <v>23250000</v>
      </c>
    </row>
    <row r="46" spans="1:32" s="51" customFormat="1">
      <c r="A46" s="49">
        <v>20230401</v>
      </c>
      <c r="B46" s="49">
        <v>20231130</v>
      </c>
      <c r="C46" s="49" t="s">
        <v>94</v>
      </c>
      <c r="D46" s="49" t="s">
        <v>168</v>
      </c>
      <c r="E46" s="49" t="s">
        <v>250</v>
      </c>
      <c r="F46" s="49"/>
      <c r="G46" s="49"/>
      <c r="H46" s="49"/>
      <c r="I46" s="49"/>
      <c r="J46" s="49"/>
      <c r="K46" s="49"/>
      <c r="L46" s="49" t="s">
        <v>164</v>
      </c>
      <c r="M46" s="49" t="s">
        <v>165</v>
      </c>
      <c r="N46" s="49"/>
      <c r="O46" s="49"/>
      <c r="P46" s="49"/>
      <c r="Q46" s="49"/>
      <c r="R46" s="49"/>
      <c r="S46" s="49"/>
      <c r="T46" s="49">
        <v>110901</v>
      </c>
      <c r="U46" s="49" t="s">
        <v>95</v>
      </c>
      <c r="V46" s="49" t="s">
        <v>97</v>
      </c>
      <c r="W46" s="49" t="s">
        <v>98</v>
      </c>
      <c r="X46" s="49" t="s">
        <v>132</v>
      </c>
      <c r="Y46" s="49" t="s">
        <v>133</v>
      </c>
      <c r="Z46" s="50" t="s">
        <v>99</v>
      </c>
      <c r="AA46" s="49" t="s">
        <v>100</v>
      </c>
      <c r="AB46" s="49"/>
      <c r="AC46" s="49">
        <f t="shared" si="6"/>
        <v>30000000</v>
      </c>
      <c r="AD46" s="49">
        <f t="shared" si="6"/>
        <v>0</v>
      </c>
      <c r="AE46" s="49">
        <f t="shared" si="6"/>
        <v>30000000</v>
      </c>
      <c r="AF46" s="49"/>
    </row>
    <row r="47" spans="1:32" s="51" customFormat="1">
      <c r="A47" s="52">
        <v>20230401</v>
      </c>
      <c r="B47" s="52">
        <v>20231130</v>
      </c>
      <c r="C47" s="52" t="s">
        <v>94</v>
      </c>
      <c r="D47" s="52" t="s">
        <v>168</v>
      </c>
      <c r="E47" s="52" t="s">
        <v>250</v>
      </c>
      <c r="F47" s="52"/>
      <c r="G47" s="52"/>
      <c r="H47" s="52"/>
      <c r="I47" s="52"/>
      <c r="J47" s="52"/>
      <c r="K47" s="52"/>
      <c r="L47" s="52" t="s">
        <v>164</v>
      </c>
      <c r="M47" s="52" t="s">
        <v>165</v>
      </c>
      <c r="N47" s="52"/>
      <c r="O47" s="52"/>
      <c r="P47" s="52"/>
      <c r="Q47" s="52"/>
      <c r="R47" s="52"/>
      <c r="S47" s="52"/>
      <c r="T47" s="52">
        <v>110901</v>
      </c>
      <c r="U47" s="52" t="s">
        <v>95</v>
      </c>
      <c r="V47" s="52" t="s">
        <v>97</v>
      </c>
      <c r="W47" s="52" t="s">
        <v>98</v>
      </c>
      <c r="X47" s="53">
        <v>300089008</v>
      </c>
      <c r="Y47" s="52" t="s">
        <v>153</v>
      </c>
      <c r="Z47" s="53"/>
      <c r="AA47" s="52"/>
      <c r="AB47" s="52"/>
      <c r="AC47" s="52">
        <f t="shared" si="6"/>
        <v>22500000</v>
      </c>
      <c r="AD47" s="52">
        <f t="shared" si="6"/>
        <v>5250000</v>
      </c>
      <c r="AE47" s="52">
        <f t="shared" si="6"/>
        <v>4500000</v>
      </c>
      <c r="AF47" s="52">
        <f t="shared" ref="AF47:AF51" si="8">AD47-AE47+AC47</f>
        <v>23250000</v>
      </c>
    </row>
    <row r="48" spans="1:32" s="51" customFormat="1">
      <c r="A48" s="49">
        <v>20230401</v>
      </c>
      <c r="B48" s="49">
        <v>20231130</v>
      </c>
      <c r="C48" s="49" t="s">
        <v>94</v>
      </c>
      <c r="D48" s="49" t="s">
        <v>168</v>
      </c>
      <c r="E48" s="49" t="s">
        <v>250</v>
      </c>
      <c r="F48" s="49"/>
      <c r="G48" s="49"/>
      <c r="H48" s="49"/>
      <c r="I48" s="49"/>
      <c r="J48" s="49"/>
      <c r="K48" s="49"/>
      <c r="L48" s="49" t="s">
        <v>164</v>
      </c>
      <c r="M48" s="49" t="s">
        <v>165</v>
      </c>
      <c r="N48" s="49"/>
      <c r="O48" s="49"/>
      <c r="P48" s="49"/>
      <c r="Q48" s="49"/>
      <c r="R48" s="49"/>
      <c r="S48" s="49"/>
      <c r="T48" s="49">
        <v>110901</v>
      </c>
      <c r="U48" s="49" t="s">
        <v>95</v>
      </c>
      <c r="V48" s="49" t="s">
        <v>97</v>
      </c>
      <c r="W48" s="49" t="s">
        <v>98</v>
      </c>
      <c r="X48" s="50">
        <v>300089008</v>
      </c>
      <c r="Y48" s="49" t="s">
        <v>153</v>
      </c>
      <c r="Z48" s="50" t="s">
        <v>99</v>
      </c>
      <c r="AA48" s="49" t="s">
        <v>100</v>
      </c>
      <c r="AB48" s="49"/>
      <c r="AC48" s="49">
        <f t="shared" si="6"/>
        <v>750000</v>
      </c>
      <c r="AD48" s="49">
        <f t="shared" si="6"/>
        <v>1500000</v>
      </c>
      <c r="AE48" s="49">
        <f t="shared" si="6"/>
        <v>3000000</v>
      </c>
      <c r="AF48" s="49">
        <f t="shared" si="8"/>
        <v>-750000</v>
      </c>
    </row>
    <row r="49" spans="1:32" s="51" customFormat="1">
      <c r="A49" s="52">
        <v>20230401</v>
      </c>
      <c r="B49" s="52">
        <v>20231130</v>
      </c>
      <c r="C49" s="52" t="s">
        <v>94</v>
      </c>
      <c r="D49" s="52" t="s">
        <v>168</v>
      </c>
      <c r="E49" s="52" t="s">
        <v>250</v>
      </c>
      <c r="F49" s="52"/>
      <c r="G49" s="52"/>
      <c r="H49" s="52"/>
      <c r="I49" s="52"/>
      <c r="J49" s="52"/>
      <c r="K49" s="52"/>
      <c r="L49" s="52" t="s">
        <v>164</v>
      </c>
      <c r="M49" s="52" t="s">
        <v>165</v>
      </c>
      <c r="N49" s="52"/>
      <c r="O49" s="52"/>
      <c r="P49" s="52"/>
      <c r="Q49" s="52"/>
      <c r="R49" s="52"/>
      <c r="S49" s="52"/>
      <c r="T49" s="52">
        <v>110902</v>
      </c>
      <c r="U49" s="52" t="s">
        <v>101</v>
      </c>
      <c r="V49" s="52" t="s">
        <v>97</v>
      </c>
      <c r="W49" s="52" t="s">
        <v>98</v>
      </c>
      <c r="X49" s="52"/>
      <c r="Y49" s="52"/>
      <c r="Z49" s="53"/>
      <c r="AA49" s="52"/>
      <c r="AB49" s="52"/>
      <c r="AC49" s="52">
        <f t="shared" si="6"/>
        <v>45000000</v>
      </c>
      <c r="AD49" s="52">
        <f t="shared" si="6"/>
        <v>3000000</v>
      </c>
      <c r="AE49" s="52">
        <f t="shared" si="6"/>
        <v>2250000</v>
      </c>
      <c r="AF49" s="52">
        <f t="shared" si="8"/>
        <v>45750000</v>
      </c>
    </row>
    <row r="50" spans="1:32" s="51" customFormat="1">
      <c r="A50" s="49">
        <v>20230401</v>
      </c>
      <c r="B50" s="49">
        <v>20231130</v>
      </c>
      <c r="C50" s="49" t="s">
        <v>94</v>
      </c>
      <c r="D50" s="49" t="s">
        <v>168</v>
      </c>
      <c r="E50" s="49" t="s">
        <v>250</v>
      </c>
      <c r="F50" s="49"/>
      <c r="G50" s="49"/>
      <c r="H50" s="49"/>
      <c r="I50" s="49"/>
      <c r="J50" s="49"/>
      <c r="K50" s="49"/>
      <c r="L50" s="49" t="s">
        <v>164</v>
      </c>
      <c r="M50" s="49" t="s">
        <v>165</v>
      </c>
      <c r="N50" s="49"/>
      <c r="O50" s="49"/>
      <c r="P50" s="49"/>
      <c r="Q50" s="49"/>
      <c r="R50" s="49"/>
      <c r="S50" s="49"/>
      <c r="T50" s="49">
        <v>110902</v>
      </c>
      <c r="U50" s="49" t="s">
        <v>101</v>
      </c>
      <c r="V50" s="49" t="s">
        <v>97</v>
      </c>
      <c r="W50" s="49" t="s">
        <v>98</v>
      </c>
      <c r="X50" s="49" t="s">
        <v>132</v>
      </c>
      <c r="Y50" s="49" t="s">
        <v>133</v>
      </c>
      <c r="Z50" s="50"/>
      <c r="AA50" s="49"/>
      <c r="AB50" s="49"/>
      <c r="AC50" s="49">
        <f t="shared" si="6"/>
        <v>52500000</v>
      </c>
      <c r="AD50" s="49">
        <f t="shared" si="6"/>
        <v>2250000</v>
      </c>
      <c r="AE50" s="49">
        <f t="shared" si="6"/>
        <v>1500000</v>
      </c>
      <c r="AF50" s="49">
        <f t="shared" si="8"/>
        <v>53250000</v>
      </c>
    </row>
    <row r="51" spans="1:32" s="51" customFormat="1">
      <c r="A51" s="52">
        <v>20230401</v>
      </c>
      <c r="B51" s="52">
        <v>20231130</v>
      </c>
      <c r="C51" s="52" t="s">
        <v>94</v>
      </c>
      <c r="D51" s="52" t="s">
        <v>168</v>
      </c>
      <c r="E51" s="52" t="s">
        <v>250</v>
      </c>
      <c r="F51" s="52"/>
      <c r="G51" s="52"/>
      <c r="H51" s="52"/>
      <c r="I51" s="52"/>
      <c r="J51" s="52"/>
      <c r="K51" s="52"/>
      <c r="L51" s="52" t="s">
        <v>164</v>
      </c>
      <c r="M51" s="52" t="s">
        <v>165</v>
      </c>
      <c r="N51" s="52"/>
      <c r="O51" s="52"/>
      <c r="P51" s="52"/>
      <c r="Q51" s="52"/>
      <c r="R51" s="52"/>
      <c r="S51" s="52"/>
      <c r="T51" s="52">
        <v>110902</v>
      </c>
      <c r="U51" s="52" t="s">
        <v>101</v>
      </c>
      <c r="V51" s="52" t="s">
        <v>97</v>
      </c>
      <c r="W51" s="52" t="s">
        <v>98</v>
      </c>
      <c r="X51" s="52" t="s">
        <v>132</v>
      </c>
      <c r="Y51" s="52" t="s">
        <v>133</v>
      </c>
      <c r="Z51" s="53">
        <v>10002</v>
      </c>
      <c r="AA51" s="52" t="s">
        <v>103</v>
      </c>
      <c r="AB51" s="52"/>
      <c r="AC51" s="52">
        <f t="shared" si="6"/>
        <v>60000000</v>
      </c>
      <c r="AD51" s="52">
        <f t="shared" si="6"/>
        <v>1500000</v>
      </c>
      <c r="AE51" s="52">
        <f>AE81+AE91+AE101</f>
        <v>5250000</v>
      </c>
      <c r="AF51" s="52">
        <f t="shared" si="8"/>
        <v>56250000</v>
      </c>
    </row>
    <row r="52" spans="1:32" s="51" customFormat="1">
      <c r="A52" s="49">
        <v>20230401</v>
      </c>
      <c r="B52" s="49">
        <v>20231130</v>
      </c>
      <c r="C52" s="49" t="s">
        <v>94</v>
      </c>
      <c r="D52" s="49" t="s">
        <v>178</v>
      </c>
      <c r="E52" s="49" t="s">
        <v>248</v>
      </c>
      <c r="F52" s="49"/>
      <c r="G52" s="49"/>
      <c r="H52" s="49"/>
      <c r="I52" s="49"/>
      <c r="J52" s="49"/>
      <c r="K52" s="49"/>
      <c r="L52" s="49" t="s">
        <v>164</v>
      </c>
      <c r="M52" s="49" t="s">
        <v>165</v>
      </c>
      <c r="N52" s="49" t="s">
        <v>166</v>
      </c>
      <c r="O52" s="49" t="s">
        <v>167</v>
      </c>
      <c r="P52" s="49" t="s">
        <v>179</v>
      </c>
      <c r="Q52" s="49" t="s">
        <v>180</v>
      </c>
      <c r="R52" s="49" t="s">
        <v>173</v>
      </c>
      <c r="S52" s="49" t="s">
        <v>174</v>
      </c>
      <c r="T52" s="49">
        <v>110501</v>
      </c>
      <c r="U52" s="49" t="s">
        <v>154</v>
      </c>
      <c r="V52" s="49" t="s">
        <v>96</v>
      </c>
      <c r="W52" s="49"/>
      <c r="X52" s="49"/>
      <c r="Y52" s="49"/>
      <c r="Z52" s="50"/>
      <c r="AA52" s="49"/>
      <c r="AB52" s="49"/>
      <c r="AC52" s="49">
        <v>2500000</v>
      </c>
      <c r="AD52" s="49">
        <v>1000000</v>
      </c>
      <c r="AE52" s="49">
        <v>875000</v>
      </c>
      <c r="AF52" s="49">
        <f t="shared" ref="AF52:AF55" si="9">AD52-AE52+AC52</f>
        <v>2625000</v>
      </c>
    </row>
    <row r="53" spans="1:32" s="51" customFormat="1">
      <c r="A53" s="52">
        <v>20230401</v>
      </c>
      <c r="B53" s="52">
        <v>20231130</v>
      </c>
      <c r="C53" s="52" t="s">
        <v>94</v>
      </c>
      <c r="D53" s="52" t="s">
        <v>178</v>
      </c>
      <c r="E53" s="52" t="s">
        <v>248</v>
      </c>
      <c r="F53" s="52"/>
      <c r="G53" s="52"/>
      <c r="H53" s="52"/>
      <c r="I53" s="52"/>
      <c r="J53" s="52"/>
      <c r="K53" s="52"/>
      <c r="L53" s="52" t="s">
        <v>164</v>
      </c>
      <c r="M53" s="52" t="s">
        <v>165</v>
      </c>
      <c r="N53" s="52" t="s">
        <v>166</v>
      </c>
      <c r="O53" s="52" t="s">
        <v>167</v>
      </c>
      <c r="P53" s="52" t="s">
        <v>179</v>
      </c>
      <c r="Q53" s="52" t="s">
        <v>180</v>
      </c>
      <c r="R53" s="52" t="s">
        <v>173</v>
      </c>
      <c r="S53" s="52" t="s">
        <v>174</v>
      </c>
      <c r="T53" s="52">
        <v>110501</v>
      </c>
      <c r="U53" s="52" t="s">
        <v>154</v>
      </c>
      <c r="V53" s="52" t="s">
        <v>96</v>
      </c>
      <c r="W53" s="52"/>
      <c r="X53" s="52" t="s">
        <v>132</v>
      </c>
      <c r="Y53" s="52" t="s">
        <v>133</v>
      </c>
      <c r="Z53" s="53"/>
      <c r="AA53" s="52"/>
      <c r="AB53" s="52"/>
      <c r="AC53" s="52">
        <v>3750000</v>
      </c>
      <c r="AD53" s="52">
        <v>875000</v>
      </c>
      <c r="AE53" s="52">
        <v>750000</v>
      </c>
      <c r="AF53" s="52">
        <f t="shared" si="9"/>
        <v>3875000</v>
      </c>
    </row>
    <row r="54" spans="1:32" s="51" customFormat="1">
      <c r="A54" s="49">
        <v>20230401</v>
      </c>
      <c r="B54" s="49">
        <v>20231130</v>
      </c>
      <c r="C54" s="49" t="s">
        <v>94</v>
      </c>
      <c r="D54" s="49" t="s">
        <v>178</v>
      </c>
      <c r="E54" s="49" t="s">
        <v>248</v>
      </c>
      <c r="F54" s="49"/>
      <c r="G54" s="49"/>
      <c r="H54" s="49"/>
      <c r="I54" s="49"/>
      <c r="J54" s="49"/>
      <c r="K54" s="49"/>
      <c r="L54" s="49" t="s">
        <v>164</v>
      </c>
      <c r="M54" s="49" t="s">
        <v>165</v>
      </c>
      <c r="N54" s="49" t="s">
        <v>166</v>
      </c>
      <c r="O54" s="49" t="s">
        <v>167</v>
      </c>
      <c r="P54" s="49" t="s">
        <v>179</v>
      </c>
      <c r="Q54" s="49" t="s">
        <v>180</v>
      </c>
      <c r="R54" s="49" t="s">
        <v>173</v>
      </c>
      <c r="S54" s="49" t="s">
        <v>174</v>
      </c>
      <c r="T54" s="49">
        <v>110901</v>
      </c>
      <c r="U54" s="49" t="s">
        <v>95</v>
      </c>
      <c r="V54" s="49" t="s">
        <v>97</v>
      </c>
      <c r="W54" s="49" t="s">
        <v>98</v>
      </c>
      <c r="X54" s="49"/>
      <c r="Y54" s="49"/>
      <c r="Z54" s="50"/>
      <c r="AA54" s="49"/>
      <c r="AB54" s="49"/>
      <c r="AC54" s="49">
        <v>2500000</v>
      </c>
      <c r="AD54" s="49">
        <v>1000000</v>
      </c>
      <c r="AE54" s="49">
        <v>875000</v>
      </c>
      <c r="AF54" s="49">
        <f t="shared" si="9"/>
        <v>2625000</v>
      </c>
    </row>
    <row r="55" spans="1:32" s="51" customFormat="1">
      <c r="A55" s="52">
        <v>20230401</v>
      </c>
      <c r="B55" s="52">
        <v>20231130</v>
      </c>
      <c r="C55" s="52" t="s">
        <v>94</v>
      </c>
      <c r="D55" s="52" t="s">
        <v>178</v>
      </c>
      <c r="E55" s="52" t="s">
        <v>248</v>
      </c>
      <c r="F55" s="52"/>
      <c r="G55" s="52"/>
      <c r="H55" s="52"/>
      <c r="I55" s="52"/>
      <c r="J55" s="52"/>
      <c r="K55" s="52"/>
      <c r="L55" s="52" t="s">
        <v>164</v>
      </c>
      <c r="M55" s="52" t="s">
        <v>165</v>
      </c>
      <c r="N55" s="52" t="s">
        <v>166</v>
      </c>
      <c r="O55" s="52" t="s">
        <v>167</v>
      </c>
      <c r="P55" s="52" t="s">
        <v>179</v>
      </c>
      <c r="Q55" s="52" t="s">
        <v>180</v>
      </c>
      <c r="R55" s="52" t="s">
        <v>173</v>
      </c>
      <c r="S55" s="52" t="s">
        <v>174</v>
      </c>
      <c r="T55" s="52">
        <v>110901</v>
      </c>
      <c r="U55" s="52" t="s">
        <v>95</v>
      </c>
      <c r="V55" s="52" t="s">
        <v>97</v>
      </c>
      <c r="W55" s="52" t="s">
        <v>98</v>
      </c>
      <c r="X55" s="52" t="s">
        <v>132</v>
      </c>
      <c r="Y55" s="52" t="s">
        <v>133</v>
      </c>
      <c r="Z55" s="53"/>
      <c r="AA55" s="52"/>
      <c r="AB55" s="52"/>
      <c r="AC55" s="52">
        <v>3750000</v>
      </c>
      <c r="AD55" s="52">
        <v>875000</v>
      </c>
      <c r="AE55" s="52">
        <v>750000</v>
      </c>
      <c r="AF55" s="52">
        <f t="shared" si="9"/>
        <v>3875000</v>
      </c>
    </row>
    <row r="56" spans="1:32" s="51" customFormat="1">
      <c r="A56" s="49">
        <v>20230401</v>
      </c>
      <c r="B56" s="49">
        <v>20231130</v>
      </c>
      <c r="C56" s="49" t="s">
        <v>94</v>
      </c>
      <c r="D56" s="49" t="s">
        <v>178</v>
      </c>
      <c r="E56" s="49" t="s">
        <v>248</v>
      </c>
      <c r="F56" s="49"/>
      <c r="G56" s="49"/>
      <c r="H56" s="49"/>
      <c r="I56" s="49"/>
      <c r="J56" s="49"/>
      <c r="K56" s="49"/>
      <c r="L56" s="49" t="s">
        <v>164</v>
      </c>
      <c r="M56" s="49" t="s">
        <v>165</v>
      </c>
      <c r="N56" s="49" t="s">
        <v>166</v>
      </c>
      <c r="O56" s="49" t="s">
        <v>167</v>
      </c>
      <c r="P56" s="49" t="s">
        <v>179</v>
      </c>
      <c r="Q56" s="49" t="s">
        <v>180</v>
      </c>
      <c r="R56" s="49" t="s">
        <v>173</v>
      </c>
      <c r="S56" s="49" t="s">
        <v>174</v>
      </c>
      <c r="T56" s="49">
        <v>110901</v>
      </c>
      <c r="U56" s="49" t="s">
        <v>95</v>
      </c>
      <c r="V56" s="49" t="s">
        <v>97</v>
      </c>
      <c r="W56" s="49" t="s">
        <v>98</v>
      </c>
      <c r="X56" s="49" t="s">
        <v>132</v>
      </c>
      <c r="Y56" s="49" t="s">
        <v>133</v>
      </c>
      <c r="Z56" s="50" t="s">
        <v>99</v>
      </c>
      <c r="AA56" s="49" t="s">
        <v>100</v>
      </c>
      <c r="AB56" s="49"/>
      <c r="AC56" s="49">
        <v>5000000</v>
      </c>
      <c r="AD56" s="49"/>
      <c r="AE56" s="49">
        <v>5000000</v>
      </c>
      <c r="AF56" s="49"/>
    </row>
    <row r="57" spans="1:32" s="51" customFormat="1">
      <c r="A57" s="52">
        <v>20230401</v>
      </c>
      <c r="B57" s="52">
        <v>20231130</v>
      </c>
      <c r="C57" s="52" t="s">
        <v>94</v>
      </c>
      <c r="D57" s="52" t="s">
        <v>178</v>
      </c>
      <c r="E57" s="52" t="s">
        <v>248</v>
      </c>
      <c r="F57" s="52"/>
      <c r="G57" s="52"/>
      <c r="H57" s="52"/>
      <c r="I57" s="52"/>
      <c r="J57" s="52"/>
      <c r="K57" s="52"/>
      <c r="L57" s="52" t="s">
        <v>164</v>
      </c>
      <c r="M57" s="52" t="s">
        <v>165</v>
      </c>
      <c r="N57" s="52" t="s">
        <v>166</v>
      </c>
      <c r="O57" s="52" t="s">
        <v>167</v>
      </c>
      <c r="P57" s="52" t="s">
        <v>179</v>
      </c>
      <c r="Q57" s="52" t="s">
        <v>180</v>
      </c>
      <c r="R57" s="52" t="s">
        <v>173</v>
      </c>
      <c r="S57" s="52" t="s">
        <v>174</v>
      </c>
      <c r="T57" s="52">
        <v>110901</v>
      </c>
      <c r="U57" s="52" t="s">
        <v>95</v>
      </c>
      <c r="V57" s="52" t="s">
        <v>97</v>
      </c>
      <c r="W57" s="52" t="s">
        <v>98</v>
      </c>
      <c r="X57" s="53">
        <v>300089008</v>
      </c>
      <c r="Y57" s="52" t="s">
        <v>153</v>
      </c>
      <c r="Z57" s="53"/>
      <c r="AA57" s="52"/>
      <c r="AB57" s="52"/>
      <c r="AC57" s="52">
        <v>3750000</v>
      </c>
      <c r="AD57" s="52">
        <v>875000</v>
      </c>
      <c r="AE57" s="52">
        <v>750000</v>
      </c>
      <c r="AF57" s="52">
        <f t="shared" ref="AF57:AF61" si="10">AD57-AE57+AC57</f>
        <v>3875000</v>
      </c>
    </row>
    <row r="58" spans="1:32" s="51" customFormat="1">
      <c r="A58" s="49">
        <v>20230401</v>
      </c>
      <c r="B58" s="49">
        <v>20231130</v>
      </c>
      <c r="C58" s="49" t="s">
        <v>94</v>
      </c>
      <c r="D58" s="49" t="s">
        <v>178</v>
      </c>
      <c r="E58" s="49" t="s">
        <v>248</v>
      </c>
      <c r="F58" s="49"/>
      <c r="G58" s="49"/>
      <c r="H58" s="49"/>
      <c r="I58" s="49"/>
      <c r="J58" s="49"/>
      <c r="K58" s="49"/>
      <c r="L58" s="49" t="s">
        <v>164</v>
      </c>
      <c r="M58" s="49" t="s">
        <v>165</v>
      </c>
      <c r="N58" s="49" t="s">
        <v>166</v>
      </c>
      <c r="O58" s="49" t="s">
        <v>167</v>
      </c>
      <c r="P58" s="49" t="s">
        <v>179</v>
      </c>
      <c r="Q58" s="49" t="s">
        <v>180</v>
      </c>
      <c r="R58" s="49" t="s">
        <v>173</v>
      </c>
      <c r="S58" s="49" t="s">
        <v>174</v>
      </c>
      <c r="T58" s="49">
        <v>110901</v>
      </c>
      <c r="U58" s="49" t="s">
        <v>95</v>
      </c>
      <c r="V58" s="49" t="s">
        <v>97</v>
      </c>
      <c r="W58" s="49" t="s">
        <v>98</v>
      </c>
      <c r="X58" s="50">
        <v>300089008</v>
      </c>
      <c r="Y58" s="49" t="s">
        <v>153</v>
      </c>
      <c r="Z58" s="50" t="s">
        <v>99</v>
      </c>
      <c r="AA58" s="49" t="s">
        <v>100</v>
      </c>
      <c r="AB58" s="49"/>
      <c r="AC58" s="49">
        <v>125000</v>
      </c>
      <c r="AD58" s="49">
        <v>250000</v>
      </c>
      <c r="AE58" s="49">
        <v>500000</v>
      </c>
      <c r="AF58" s="49">
        <f t="shared" si="10"/>
        <v>-125000</v>
      </c>
    </row>
    <row r="59" spans="1:32" s="51" customFormat="1">
      <c r="A59" s="52">
        <v>20230401</v>
      </c>
      <c r="B59" s="52">
        <v>20231130</v>
      </c>
      <c r="C59" s="52" t="s">
        <v>94</v>
      </c>
      <c r="D59" s="52" t="s">
        <v>178</v>
      </c>
      <c r="E59" s="52" t="s">
        <v>248</v>
      </c>
      <c r="F59" s="52"/>
      <c r="G59" s="52"/>
      <c r="H59" s="52"/>
      <c r="I59" s="52"/>
      <c r="J59" s="52"/>
      <c r="K59" s="52"/>
      <c r="L59" s="52" t="s">
        <v>164</v>
      </c>
      <c r="M59" s="52" t="s">
        <v>165</v>
      </c>
      <c r="N59" s="52" t="s">
        <v>166</v>
      </c>
      <c r="O59" s="52" t="s">
        <v>167</v>
      </c>
      <c r="P59" s="52" t="s">
        <v>179</v>
      </c>
      <c r="Q59" s="52" t="s">
        <v>180</v>
      </c>
      <c r="R59" s="52" t="s">
        <v>173</v>
      </c>
      <c r="S59" s="52" t="s">
        <v>174</v>
      </c>
      <c r="T59" s="52">
        <v>110902</v>
      </c>
      <c r="U59" s="52" t="s">
        <v>101</v>
      </c>
      <c r="V59" s="52" t="s">
        <v>97</v>
      </c>
      <c r="W59" s="52" t="s">
        <v>98</v>
      </c>
      <c r="X59" s="52"/>
      <c r="Y59" s="52"/>
      <c r="Z59" s="53"/>
      <c r="AA59" s="52"/>
      <c r="AB59" s="52"/>
      <c r="AC59" s="52">
        <v>7500000</v>
      </c>
      <c r="AD59" s="52">
        <v>500000</v>
      </c>
      <c r="AE59" s="52">
        <v>375000</v>
      </c>
      <c r="AF59" s="52">
        <f t="shared" si="10"/>
        <v>7625000</v>
      </c>
    </row>
    <row r="60" spans="1:32" s="51" customFormat="1">
      <c r="A60" s="49">
        <v>20230401</v>
      </c>
      <c r="B60" s="49">
        <v>20231130</v>
      </c>
      <c r="C60" s="49" t="s">
        <v>94</v>
      </c>
      <c r="D60" s="49" t="s">
        <v>178</v>
      </c>
      <c r="E60" s="49" t="s">
        <v>248</v>
      </c>
      <c r="F60" s="49"/>
      <c r="G60" s="49"/>
      <c r="H60" s="49"/>
      <c r="I60" s="49"/>
      <c r="J60" s="49"/>
      <c r="K60" s="49"/>
      <c r="L60" s="49" t="s">
        <v>164</v>
      </c>
      <c r="M60" s="49" t="s">
        <v>165</v>
      </c>
      <c r="N60" s="49" t="s">
        <v>166</v>
      </c>
      <c r="O60" s="49" t="s">
        <v>167</v>
      </c>
      <c r="P60" s="49" t="s">
        <v>179</v>
      </c>
      <c r="Q60" s="49" t="s">
        <v>180</v>
      </c>
      <c r="R60" s="49" t="s">
        <v>173</v>
      </c>
      <c r="S60" s="49" t="s">
        <v>174</v>
      </c>
      <c r="T60" s="49">
        <v>110902</v>
      </c>
      <c r="U60" s="49" t="s">
        <v>101</v>
      </c>
      <c r="V60" s="49" t="s">
        <v>97</v>
      </c>
      <c r="W60" s="49" t="s">
        <v>98</v>
      </c>
      <c r="X60" s="49" t="s">
        <v>132</v>
      </c>
      <c r="Y60" s="49" t="s">
        <v>133</v>
      </c>
      <c r="Z60" s="50"/>
      <c r="AA60" s="49"/>
      <c r="AB60" s="49"/>
      <c r="AC60" s="49">
        <v>8750000</v>
      </c>
      <c r="AD60" s="49">
        <v>375000</v>
      </c>
      <c r="AE60" s="49">
        <v>250000</v>
      </c>
      <c r="AF60" s="49">
        <f t="shared" si="10"/>
        <v>8875000</v>
      </c>
    </row>
    <row r="61" spans="1:32" s="51" customFormat="1">
      <c r="A61" s="52">
        <v>20230401</v>
      </c>
      <c r="B61" s="52">
        <v>20231130</v>
      </c>
      <c r="C61" s="52" t="s">
        <v>94</v>
      </c>
      <c r="D61" s="52" t="s">
        <v>178</v>
      </c>
      <c r="E61" s="52" t="s">
        <v>248</v>
      </c>
      <c r="F61" s="52"/>
      <c r="G61" s="52"/>
      <c r="H61" s="52"/>
      <c r="I61" s="52"/>
      <c r="J61" s="52"/>
      <c r="K61" s="52"/>
      <c r="L61" s="52" t="s">
        <v>164</v>
      </c>
      <c r="M61" s="52" t="s">
        <v>165</v>
      </c>
      <c r="N61" s="52" t="s">
        <v>166</v>
      </c>
      <c r="O61" s="52" t="s">
        <v>167</v>
      </c>
      <c r="P61" s="52" t="s">
        <v>179</v>
      </c>
      <c r="Q61" s="52" t="s">
        <v>180</v>
      </c>
      <c r="R61" s="52" t="s">
        <v>173</v>
      </c>
      <c r="S61" s="52" t="s">
        <v>174</v>
      </c>
      <c r="T61" s="52">
        <v>110902</v>
      </c>
      <c r="U61" s="52" t="s">
        <v>101</v>
      </c>
      <c r="V61" s="52" t="s">
        <v>97</v>
      </c>
      <c r="W61" s="52" t="s">
        <v>98</v>
      </c>
      <c r="X61" s="52" t="s">
        <v>132</v>
      </c>
      <c r="Y61" s="52" t="s">
        <v>133</v>
      </c>
      <c r="Z61" s="53">
        <v>10002</v>
      </c>
      <c r="AA61" s="52" t="s">
        <v>103</v>
      </c>
      <c r="AB61" s="52"/>
      <c r="AC61" s="52">
        <v>10000000</v>
      </c>
      <c r="AD61" s="52">
        <v>250000</v>
      </c>
      <c r="AE61" s="52">
        <v>875000</v>
      </c>
      <c r="AF61" s="52">
        <f t="shared" si="10"/>
        <v>9375000</v>
      </c>
    </row>
    <row r="62" spans="1:32" s="51" customFormat="1">
      <c r="A62" s="49">
        <v>20230401</v>
      </c>
      <c r="B62" s="49">
        <v>20231130</v>
      </c>
      <c r="C62" s="49" t="s">
        <v>94</v>
      </c>
      <c r="D62" s="49" t="s">
        <v>178</v>
      </c>
      <c r="E62" s="49" t="s">
        <v>248</v>
      </c>
      <c r="F62" s="49"/>
      <c r="G62" s="49"/>
      <c r="H62" s="49"/>
      <c r="I62" s="49"/>
      <c r="J62" s="49"/>
      <c r="K62" s="49"/>
      <c r="L62" s="49" t="s">
        <v>164</v>
      </c>
      <c r="M62" s="49" t="s">
        <v>165</v>
      </c>
      <c r="N62" s="49" t="s">
        <v>166</v>
      </c>
      <c r="O62" s="49" t="s">
        <v>167</v>
      </c>
      <c r="P62" s="49" t="s">
        <v>179</v>
      </c>
      <c r="Q62" s="49" t="s">
        <v>180</v>
      </c>
      <c r="R62" s="49" t="s">
        <v>169</v>
      </c>
      <c r="S62" s="49" t="s">
        <v>177</v>
      </c>
      <c r="T62" s="49">
        <v>110501</v>
      </c>
      <c r="U62" s="49" t="s">
        <v>154</v>
      </c>
      <c r="V62" s="49" t="s">
        <v>96</v>
      </c>
      <c r="W62" s="49"/>
      <c r="X62" s="49"/>
      <c r="Y62" s="49"/>
      <c r="Z62" s="50"/>
      <c r="AA62" s="49"/>
      <c r="AB62" s="49"/>
      <c r="AC62" s="49">
        <v>2500000</v>
      </c>
      <c r="AD62" s="49">
        <v>1000000</v>
      </c>
      <c r="AE62" s="49">
        <v>875000</v>
      </c>
      <c r="AF62" s="49">
        <f>AD62-AE62+AC62</f>
        <v>2625000</v>
      </c>
    </row>
    <row r="63" spans="1:32" s="51" customFormat="1">
      <c r="A63" s="52">
        <v>20230401</v>
      </c>
      <c r="B63" s="52">
        <v>20231130</v>
      </c>
      <c r="C63" s="52" t="s">
        <v>94</v>
      </c>
      <c r="D63" s="52" t="s">
        <v>178</v>
      </c>
      <c r="E63" s="52" t="s">
        <v>248</v>
      </c>
      <c r="F63" s="52"/>
      <c r="G63" s="52"/>
      <c r="H63" s="52"/>
      <c r="I63" s="52"/>
      <c r="J63" s="52"/>
      <c r="K63" s="52"/>
      <c r="L63" s="52" t="s">
        <v>164</v>
      </c>
      <c r="M63" s="52" t="s">
        <v>165</v>
      </c>
      <c r="N63" s="52" t="s">
        <v>166</v>
      </c>
      <c r="O63" s="52" t="s">
        <v>167</v>
      </c>
      <c r="P63" s="52" t="s">
        <v>179</v>
      </c>
      <c r="Q63" s="52" t="s">
        <v>180</v>
      </c>
      <c r="R63" s="52" t="s">
        <v>169</v>
      </c>
      <c r="S63" s="52" t="s">
        <v>177</v>
      </c>
      <c r="T63" s="52">
        <v>110501</v>
      </c>
      <c r="U63" s="52" t="s">
        <v>154</v>
      </c>
      <c r="V63" s="52" t="s">
        <v>96</v>
      </c>
      <c r="W63" s="52"/>
      <c r="X63" s="52" t="s">
        <v>132</v>
      </c>
      <c r="Y63" s="52" t="s">
        <v>133</v>
      </c>
      <c r="Z63" s="53"/>
      <c r="AA63" s="52"/>
      <c r="AB63" s="52"/>
      <c r="AC63" s="52">
        <v>3750000</v>
      </c>
      <c r="AD63" s="52">
        <v>875000</v>
      </c>
      <c r="AE63" s="52">
        <v>750000</v>
      </c>
      <c r="AF63" s="52">
        <f>AD63-AE63+AC63</f>
        <v>3875000</v>
      </c>
    </row>
    <row r="64" spans="1:32" s="51" customFormat="1">
      <c r="A64" s="49">
        <v>20230401</v>
      </c>
      <c r="B64" s="49">
        <v>20231130</v>
      </c>
      <c r="C64" s="49" t="s">
        <v>94</v>
      </c>
      <c r="D64" s="49" t="s">
        <v>178</v>
      </c>
      <c r="E64" s="49" t="s">
        <v>248</v>
      </c>
      <c r="F64" s="49"/>
      <c r="G64" s="49"/>
      <c r="H64" s="49"/>
      <c r="I64" s="49"/>
      <c r="J64" s="49"/>
      <c r="K64" s="49"/>
      <c r="L64" s="49" t="s">
        <v>164</v>
      </c>
      <c r="M64" s="49" t="s">
        <v>165</v>
      </c>
      <c r="N64" s="49" t="s">
        <v>166</v>
      </c>
      <c r="O64" s="49" t="s">
        <v>167</v>
      </c>
      <c r="P64" s="49" t="s">
        <v>179</v>
      </c>
      <c r="Q64" s="49" t="s">
        <v>180</v>
      </c>
      <c r="R64" s="49" t="s">
        <v>169</v>
      </c>
      <c r="S64" s="49" t="s">
        <v>177</v>
      </c>
      <c r="T64" s="49">
        <v>110901</v>
      </c>
      <c r="U64" s="49" t="s">
        <v>95</v>
      </c>
      <c r="V64" s="49" t="s">
        <v>97</v>
      </c>
      <c r="W64" s="49" t="s">
        <v>98</v>
      </c>
      <c r="X64" s="49"/>
      <c r="Y64" s="49"/>
      <c r="Z64" s="50"/>
      <c r="AA64" s="49"/>
      <c r="AB64" s="49"/>
      <c r="AC64" s="49">
        <v>2500000</v>
      </c>
      <c r="AD64" s="49">
        <v>1000000</v>
      </c>
      <c r="AE64" s="49">
        <v>875000</v>
      </c>
      <c r="AF64" s="49">
        <f>AD64-AE64+AC64</f>
        <v>2625000</v>
      </c>
    </row>
    <row r="65" spans="1:32" s="51" customFormat="1">
      <c r="A65" s="52">
        <v>20230401</v>
      </c>
      <c r="B65" s="52">
        <v>20231130</v>
      </c>
      <c r="C65" s="52" t="s">
        <v>94</v>
      </c>
      <c r="D65" s="52" t="s">
        <v>178</v>
      </c>
      <c r="E65" s="52" t="s">
        <v>248</v>
      </c>
      <c r="F65" s="52"/>
      <c r="G65" s="52"/>
      <c r="H65" s="52"/>
      <c r="I65" s="52"/>
      <c r="J65" s="52"/>
      <c r="K65" s="52"/>
      <c r="L65" s="52" t="s">
        <v>164</v>
      </c>
      <c r="M65" s="52" t="s">
        <v>165</v>
      </c>
      <c r="N65" s="52" t="s">
        <v>166</v>
      </c>
      <c r="O65" s="52" t="s">
        <v>167</v>
      </c>
      <c r="P65" s="52" t="s">
        <v>179</v>
      </c>
      <c r="Q65" s="52" t="s">
        <v>180</v>
      </c>
      <c r="R65" s="52" t="s">
        <v>169</v>
      </c>
      <c r="S65" s="52" t="s">
        <v>177</v>
      </c>
      <c r="T65" s="52">
        <v>110901</v>
      </c>
      <c r="U65" s="52" t="s">
        <v>95</v>
      </c>
      <c r="V65" s="52" t="s">
        <v>97</v>
      </c>
      <c r="W65" s="52" t="s">
        <v>98</v>
      </c>
      <c r="X65" s="52" t="s">
        <v>132</v>
      </c>
      <c r="Y65" s="52" t="s">
        <v>133</v>
      </c>
      <c r="Z65" s="53"/>
      <c r="AA65" s="52"/>
      <c r="AB65" s="52"/>
      <c r="AC65" s="52">
        <v>3750000</v>
      </c>
      <c r="AD65" s="52">
        <v>875000</v>
      </c>
      <c r="AE65" s="52">
        <v>750000</v>
      </c>
      <c r="AF65" s="52">
        <f>AD65-AE65+AC65</f>
        <v>3875000</v>
      </c>
    </row>
    <row r="66" spans="1:32" s="51" customFormat="1">
      <c r="A66" s="49">
        <v>20230401</v>
      </c>
      <c r="B66" s="49">
        <v>20231130</v>
      </c>
      <c r="C66" s="49" t="s">
        <v>94</v>
      </c>
      <c r="D66" s="49" t="s">
        <v>178</v>
      </c>
      <c r="E66" s="49" t="s">
        <v>248</v>
      </c>
      <c r="F66" s="49"/>
      <c r="G66" s="49"/>
      <c r="H66" s="49"/>
      <c r="I66" s="49"/>
      <c r="J66" s="49"/>
      <c r="K66" s="49"/>
      <c r="L66" s="49" t="s">
        <v>164</v>
      </c>
      <c r="M66" s="49" t="s">
        <v>165</v>
      </c>
      <c r="N66" s="49" t="s">
        <v>166</v>
      </c>
      <c r="O66" s="49" t="s">
        <v>167</v>
      </c>
      <c r="P66" s="49" t="s">
        <v>179</v>
      </c>
      <c r="Q66" s="49" t="s">
        <v>180</v>
      </c>
      <c r="R66" s="49" t="s">
        <v>169</v>
      </c>
      <c r="S66" s="49" t="s">
        <v>177</v>
      </c>
      <c r="T66" s="49">
        <v>110901</v>
      </c>
      <c r="U66" s="49" t="s">
        <v>95</v>
      </c>
      <c r="V66" s="49" t="s">
        <v>97</v>
      </c>
      <c r="W66" s="49" t="s">
        <v>98</v>
      </c>
      <c r="X66" s="49" t="s">
        <v>132</v>
      </c>
      <c r="Y66" s="49" t="s">
        <v>133</v>
      </c>
      <c r="Z66" s="50" t="s">
        <v>99</v>
      </c>
      <c r="AA66" s="49" t="s">
        <v>100</v>
      </c>
      <c r="AB66" s="49"/>
      <c r="AC66" s="49">
        <v>5000000</v>
      </c>
      <c r="AD66" s="49"/>
      <c r="AE66" s="49">
        <v>5000000</v>
      </c>
      <c r="AF66" s="49"/>
    </row>
    <row r="67" spans="1:32" s="51" customFormat="1">
      <c r="A67" s="52">
        <v>20230401</v>
      </c>
      <c r="B67" s="52">
        <v>20231130</v>
      </c>
      <c r="C67" s="52" t="s">
        <v>94</v>
      </c>
      <c r="D67" s="52" t="s">
        <v>178</v>
      </c>
      <c r="E67" s="52" t="s">
        <v>248</v>
      </c>
      <c r="F67" s="52"/>
      <c r="G67" s="52"/>
      <c r="H67" s="52"/>
      <c r="I67" s="52"/>
      <c r="J67" s="52"/>
      <c r="K67" s="52"/>
      <c r="L67" s="52" t="s">
        <v>164</v>
      </c>
      <c r="M67" s="52" t="s">
        <v>165</v>
      </c>
      <c r="N67" s="52" t="s">
        <v>166</v>
      </c>
      <c r="O67" s="52" t="s">
        <v>167</v>
      </c>
      <c r="P67" s="52" t="s">
        <v>179</v>
      </c>
      <c r="Q67" s="52" t="s">
        <v>180</v>
      </c>
      <c r="R67" s="52" t="s">
        <v>169</v>
      </c>
      <c r="S67" s="52" t="s">
        <v>177</v>
      </c>
      <c r="T67" s="52">
        <v>110901</v>
      </c>
      <c r="U67" s="52" t="s">
        <v>95</v>
      </c>
      <c r="V67" s="52" t="s">
        <v>97</v>
      </c>
      <c r="W67" s="52" t="s">
        <v>98</v>
      </c>
      <c r="X67" s="53">
        <v>300089008</v>
      </c>
      <c r="Y67" s="52" t="s">
        <v>153</v>
      </c>
      <c r="Z67" s="53"/>
      <c r="AA67" s="52"/>
      <c r="AB67" s="52"/>
      <c r="AC67" s="52">
        <v>3750000</v>
      </c>
      <c r="AD67" s="52">
        <v>875000</v>
      </c>
      <c r="AE67" s="52">
        <v>750000</v>
      </c>
      <c r="AF67" s="52">
        <f t="shared" ref="AF67:AF72" si="11">AD67-AE67+AC67</f>
        <v>3875000</v>
      </c>
    </row>
    <row r="68" spans="1:32" s="51" customFormat="1">
      <c r="A68" s="49">
        <v>20230401</v>
      </c>
      <c r="B68" s="49">
        <v>20231130</v>
      </c>
      <c r="C68" s="49" t="s">
        <v>94</v>
      </c>
      <c r="D68" s="49" t="s">
        <v>178</v>
      </c>
      <c r="E68" s="49" t="s">
        <v>248</v>
      </c>
      <c r="F68" s="49"/>
      <c r="G68" s="49"/>
      <c r="H68" s="49"/>
      <c r="I68" s="49"/>
      <c r="J68" s="49"/>
      <c r="K68" s="49"/>
      <c r="L68" s="49" t="s">
        <v>164</v>
      </c>
      <c r="M68" s="49" t="s">
        <v>165</v>
      </c>
      <c r="N68" s="49" t="s">
        <v>166</v>
      </c>
      <c r="O68" s="49" t="s">
        <v>167</v>
      </c>
      <c r="P68" s="49" t="s">
        <v>179</v>
      </c>
      <c r="Q68" s="49" t="s">
        <v>180</v>
      </c>
      <c r="R68" s="49" t="s">
        <v>169</v>
      </c>
      <c r="S68" s="49" t="s">
        <v>177</v>
      </c>
      <c r="T68" s="49">
        <v>110901</v>
      </c>
      <c r="U68" s="49" t="s">
        <v>95</v>
      </c>
      <c r="V68" s="49" t="s">
        <v>97</v>
      </c>
      <c r="W68" s="49" t="s">
        <v>98</v>
      </c>
      <c r="X68" s="50">
        <v>300089008</v>
      </c>
      <c r="Y68" s="49" t="s">
        <v>153</v>
      </c>
      <c r="Z68" s="50" t="s">
        <v>99</v>
      </c>
      <c r="AA68" s="49" t="s">
        <v>100</v>
      </c>
      <c r="AB68" s="49"/>
      <c r="AC68" s="49">
        <v>125000</v>
      </c>
      <c r="AD68" s="49">
        <v>250000</v>
      </c>
      <c r="AE68" s="49">
        <v>500000</v>
      </c>
      <c r="AF68" s="49">
        <f t="shared" si="11"/>
        <v>-125000</v>
      </c>
    </row>
    <row r="69" spans="1:32" s="51" customFormat="1">
      <c r="A69" s="52">
        <v>20230401</v>
      </c>
      <c r="B69" s="52">
        <v>20231130</v>
      </c>
      <c r="C69" s="52" t="s">
        <v>94</v>
      </c>
      <c r="D69" s="52" t="s">
        <v>178</v>
      </c>
      <c r="E69" s="52" t="s">
        <v>248</v>
      </c>
      <c r="F69" s="52"/>
      <c r="G69" s="52"/>
      <c r="H69" s="52"/>
      <c r="I69" s="52"/>
      <c r="J69" s="52"/>
      <c r="K69" s="52"/>
      <c r="L69" s="52" t="s">
        <v>164</v>
      </c>
      <c r="M69" s="52" t="s">
        <v>165</v>
      </c>
      <c r="N69" s="52" t="s">
        <v>166</v>
      </c>
      <c r="O69" s="52" t="s">
        <v>167</v>
      </c>
      <c r="P69" s="52" t="s">
        <v>179</v>
      </c>
      <c r="Q69" s="52" t="s">
        <v>180</v>
      </c>
      <c r="R69" s="52" t="s">
        <v>169</v>
      </c>
      <c r="S69" s="52" t="s">
        <v>177</v>
      </c>
      <c r="T69" s="52">
        <v>110902</v>
      </c>
      <c r="U69" s="52" t="s">
        <v>101</v>
      </c>
      <c r="V69" s="52" t="s">
        <v>97</v>
      </c>
      <c r="W69" s="52" t="s">
        <v>98</v>
      </c>
      <c r="X69" s="52"/>
      <c r="Y69" s="52"/>
      <c r="Z69" s="53"/>
      <c r="AA69" s="52"/>
      <c r="AB69" s="52"/>
      <c r="AC69" s="52">
        <v>7500000</v>
      </c>
      <c r="AD69" s="52">
        <v>500000</v>
      </c>
      <c r="AE69" s="52">
        <v>375000</v>
      </c>
      <c r="AF69" s="52">
        <f t="shared" si="11"/>
        <v>7625000</v>
      </c>
    </row>
    <row r="70" spans="1:32" s="51" customFormat="1">
      <c r="A70" s="49">
        <v>20230401</v>
      </c>
      <c r="B70" s="49">
        <v>20231130</v>
      </c>
      <c r="C70" s="49" t="s">
        <v>94</v>
      </c>
      <c r="D70" s="49" t="s">
        <v>178</v>
      </c>
      <c r="E70" s="49" t="s">
        <v>248</v>
      </c>
      <c r="F70" s="49"/>
      <c r="G70" s="49"/>
      <c r="H70" s="49"/>
      <c r="I70" s="49"/>
      <c r="J70" s="49"/>
      <c r="K70" s="49"/>
      <c r="L70" s="49" t="s">
        <v>164</v>
      </c>
      <c r="M70" s="49" t="s">
        <v>165</v>
      </c>
      <c r="N70" s="49" t="s">
        <v>166</v>
      </c>
      <c r="O70" s="49" t="s">
        <v>167</v>
      </c>
      <c r="P70" s="49" t="s">
        <v>179</v>
      </c>
      <c r="Q70" s="49" t="s">
        <v>180</v>
      </c>
      <c r="R70" s="49" t="s">
        <v>169</v>
      </c>
      <c r="S70" s="49" t="s">
        <v>177</v>
      </c>
      <c r="T70" s="49">
        <v>110902</v>
      </c>
      <c r="U70" s="49" t="s">
        <v>101</v>
      </c>
      <c r="V70" s="49" t="s">
        <v>97</v>
      </c>
      <c r="W70" s="49" t="s">
        <v>98</v>
      </c>
      <c r="X70" s="49" t="s">
        <v>132</v>
      </c>
      <c r="Y70" s="49" t="s">
        <v>133</v>
      </c>
      <c r="Z70" s="50"/>
      <c r="AA70" s="49"/>
      <c r="AB70" s="49"/>
      <c r="AC70" s="49">
        <v>8750000</v>
      </c>
      <c r="AD70" s="49">
        <v>375000</v>
      </c>
      <c r="AE70" s="49">
        <v>250000</v>
      </c>
      <c r="AF70" s="49">
        <f t="shared" si="11"/>
        <v>8875000</v>
      </c>
    </row>
    <row r="71" spans="1:32" s="51" customFormat="1">
      <c r="A71" s="52">
        <v>20230401</v>
      </c>
      <c r="B71" s="52">
        <v>20231130</v>
      </c>
      <c r="C71" s="52" t="s">
        <v>94</v>
      </c>
      <c r="D71" s="52" t="s">
        <v>178</v>
      </c>
      <c r="E71" s="52" t="s">
        <v>248</v>
      </c>
      <c r="F71" s="52"/>
      <c r="G71" s="52"/>
      <c r="H71" s="52"/>
      <c r="I71" s="52"/>
      <c r="J71" s="52"/>
      <c r="K71" s="52"/>
      <c r="L71" s="52" t="s">
        <v>164</v>
      </c>
      <c r="M71" s="52" t="s">
        <v>165</v>
      </c>
      <c r="N71" s="52" t="s">
        <v>166</v>
      </c>
      <c r="O71" s="52" t="s">
        <v>167</v>
      </c>
      <c r="P71" s="52" t="s">
        <v>179</v>
      </c>
      <c r="Q71" s="52" t="s">
        <v>180</v>
      </c>
      <c r="R71" s="52" t="s">
        <v>169</v>
      </c>
      <c r="S71" s="52" t="s">
        <v>177</v>
      </c>
      <c r="T71" s="52">
        <v>110902</v>
      </c>
      <c r="U71" s="52" t="s">
        <v>101</v>
      </c>
      <c r="V71" s="52" t="s">
        <v>97</v>
      </c>
      <c r="W71" s="52" t="s">
        <v>98</v>
      </c>
      <c r="X71" s="52" t="s">
        <v>132</v>
      </c>
      <c r="Y71" s="52" t="s">
        <v>133</v>
      </c>
      <c r="Z71" s="53">
        <v>10002</v>
      </c>
      <c r="AA71" s="52" t="s">
        <v>103</v>
      </c>
      <c r="AB71" s="52"/>
      <c r="AC71" s="52">
        <v>10000000</v>
      </c>
      <c r="AD71" s="52">
        <v>250000</v>
      </c>
      <c r="AE71" s="52">
        <v>875000</v>
      </c>
      <c r="AF71" s="52">
        <f t="shared" si="11"/>
        <v>9375000</v>
      </c>
    </row>
    <row r="72" spans="1:32" s="51" customFormat="1">
      <c r="A72" s="49">
        <v>20230401</v>
      </c>
      <c r="B72" s="49">
        <v>20231130</v>
      </c>
      <c r="C72" s="49" t="s">
        <v>94</v>
      </c>
      <c r="D72" s="57" t="s">
        <v>178</v>
      </c>
      <c r="E72" s="49" t="s">
        <v>248</v>
      </c>
      <c r="F72" s="49"/>
      <c r="G72" s="49"/>
      <c r="H72" s="49"/>
      <c r="I72" s="49"/>
      <c r="J72" s="49"/>
      <c r="K72" s="49"/>
      <c r="L72" s="49" t="s">
        <v>164</v>
      </c>
      <c r="M72" s="49" t="s">
        <v>165</v>
      </c>
      <c r="N72" s="49"/>
      <c r="O72" s="49"/>
      <c r="P72" s="49" t="s">
        <v>164</v>
      </c>
      <c r="Q72" s="49" t="s">
        <v>165</v>
      </c>
      <c r="R72" s="49" t="s">
        <v>173</v>
      </c>
      <c r="S72" s="49" t="s">
        <v>174</v>
      </c>
      <c r="T72" s="49">
        <v>110501</v>
      </c>
      <c r="U72" s="49" t="s">
        <v>154</v>
      </c>
      <c r="V72" s="49" t="s">
        <v>96</v>
      </c>
      <c r="W72" s="49"/>
      <c r="X72" s="49"/>
      <c r="Y72" s="49"/>
      <c r="Z72" s="50"/>
      <c r="AA72" s="49"/>
      <c r="AB72" s="49"/>
      <c r="AC72" s="49">
        <v>5000000</v>
      </c>
      <c r="AD72" s="49">
        <v>2000000</v>
      </c>
      <c r="AE72" s="49">
        <v>1750000</v>
      </c>
      <c r="AF72" s="49">
        <f t="shared" si="11"/>
        <v>5250000</v>
      </c>
    </row>
    <row r="73" spans="1:32" s="51" customFormat="1">
      <c r="A73" s="52">
        <v>20230401</v>
      </c>
      <c r="B73" s="52">
        <v>20231130</v>
      </c>
      <c r="C73" s="52" t="s">
        <v>94</v>
      </c>
      <c r="D73" s="52" t="s">
        <v>178</v>
      </c>
      <c r="E73" s="52" t="s">
        <v>248</v>
      </c>
      <c r="F73" s="52"/>
      <c r="G73" s="52"/>
      <c r="H73" s="52"/>
      <c r="I73" s="52"/>
      <c r="J73" s="52"/>
      <c r="K73" s="52"/>
      <c r="L73" s="52" t="s">
        <v>164</v>
      </c>
      <c r="M73" s="52" t="s">
        <v>165</v>
      </c>
      <c r="N73" s="52"/>
      <c r="O73" s="52"/>
      <c r="P73" s="52" t="s">
        <v>164</v>
      </c>
      <c r="Q73" s="52" t="s">
        <v>165</v>
      </c>
      <c r="R73" s="52" t="s">
        <v>173</v>
      </c>
      <c r="S73" s="52" t="s">
        <v>174</v>
      </c>
      <c r="T73" s="52">
        <v>110501</v>
      </c>
      <c r="U73" s="52" t="s">
        <v>154</v>
      </c>
      <c r="V73" s="52" t="s">
        <v>96</v>
      </c>
      <c r="W73" s="52"/>
      <c r="X73" s="52" t="s">
        <v>132</v>
      </c>
      <c r="Y73" s="52" t="s">
        <v>133</v>
      </c>
      <c r="Z73" s="53"/>
      <c r="AA73" s="52"/>
      <c r="AB73" s="52"/>
      <c r="AC73" s="52">
        <v>7500000</v>
      </c>
      <c r="AD73" s="52">
        <v>1750000</v>
      </c>
      <c r="AE73" s="52">
        <v>1500000</v>
      </c>
      <c r="AF73" s="52">
        <f t="shared" ref="AF73" si="12">AD73-AE73+AC73</f>
        <v>7750000</v>
      </c>
    </row>
    <row r="74" spans="1:32" s="51" customFormat="1">
      <c r="A74" s="49">
        <v>20230401</v>
      </c>
      <c r="B74" s="49">
        <v>20231130</v>
      </c>
      <c r="C74" s="49" t="s">
        <v>94</v>
      </c>
      <c r="D74" s="49" t="s">
        <v>178</v>
      </c>
      <c r="E74" s="49" t="s">
        <v>248</v>
      </c>
      <c r="F74" s="49"/>
      <c r="G74" s="49"/>
      <c r="H74" s="49"/>
      <c r="I74" s="49"/>
      <c r="J74" s="49"/>
      <c r="K74" s="49"/>
      <c r="L74" s="49" t="s">
        <v>164</v>
      </c>
      <c r="M74" s="49" t="s">
        <v>165</v>
      </c>
      <c r="N74" s="49"/>
      <c r="O74" s="49"/>
      <c r="P74" s="49" t="s">
        <v>164</v>
      </c>
      <c r="Q74" s="49" t="s">
        <v>165</v>
      </c>
      <c r="R74" s="49" t="s">
        <v>173</v>
      </c>
      <c r="S74" s="49" t="s">
        <v>174</v>
      </c>
      <c r="T74" s="49">
        <v>110901</v>
      </c>
      <c r="U74" s="49" t="s">
        <v>95</v>
      </c>
      <c r="V74" s="49" t="s">
        <v>97</v>
      </c>
      <c r="W74" s="49" t="s">
        <v>98</v>
      </c>
      <c r="X74" s="49"/>
      <c r="Y74" s="49"/>
      <c r="Z74" s="50"/>
      <c r="AA74" s="49"/>
      <c r="AB74" s="49"/>
      <c r="AC74" s="49">
        <v>5000000</v>
      </c>
      <c r="AD74" s="49">
        <v>2000000</v>
      </c>
      <c r="AE74" s="49">
        <v>1750000</v>
      </c>
      <c r="AF74" s="49">
        <f>AD74-AE74+AC74</f>
        <v>5250000</v>
      </c>
    </row>
    <row r="75" spans="1:32" s="51" customFormat="1">
      <c r="A75" s="52">
        <v>20230401</v>
      </c>
      <c r="B75" s="52">
        <v>20231130</v>
      </c>
      <c r="C75" s="52" t="s">
        <v>94</v>
      </c>
      <c r="D75" s="52" t="s">
        <v>178</v>
      </c>
      <c r="E75" s="52" t="s">
        <v>248</v>
      </c>
      <c r="F75" s="52"/>
      <c r="G75" s="52"/>
      <c r="H75" s="52"/>
      <c r="I75" s="52"/>
      <c r="J75" s="52"/>
      <c r="K75" s="52"/>
      <c r="L75" s="52" t="s">
        <v>164</v>
      </c>
      <c r="M75" s="52" t="s">
        <v>165</v>
      </c>
      <c r="N75" s="52"/>
      <c r="O75" s="52"/>
      <c r="P75" s="52" t="s">
        <v>164</v>
      </c>
      <c r="Q75" s="52" t="s">
        <v>165</v>
      </c>
      <c r="R75" s="52" t="s">
        <v>173</v>
      </c>
      <c r="S75" s="52" t="s">
        <v>174</v>
      </c>
      <c r="T75" s="52">
        <v>110901</v>
      </c>
      <c r="U75" s="52" t="s">
        <v>95</v>
      </c>
      <c r="V75" s="52" t="s">
        <v>97</v>
      </c>
      <c r="W75" s="52" t="s">
        <v>98</v>
      </c>
      <c r="X75" s="52" t="s">
        <v>132</v>
      </c>
      <c r="Y75" s="52" t="s">
        <v>133</v>
      </c>
      <c r="Z75" s="53"/>
      <c r="AA75" s="52"/>
      <c r="AB75" s="52"/>
      <c r="AC75" s="52">
        <v>7500000</v>
      </c>
      <c r="AD75" s="52">
        <v>1750000</v>
      </c>
      <c r="AE75" s="52">
        <v>1500000</v>
      </c>
      <c r="AF75" s="52">
        <f>AD75-AE75+AC75</f>
        <v>7750000</v>
      </c>
    </row>
    <row r="76" spans="1:32" s="51" customFormat="1">
      <c r="A76" s="49">
        <v>20230401</v>
      </c>
      <c r="B76" s="49">
        <v>20231130</v>
      </c>
      <c r="C76" s="49" t="s">
        <v>94</v>
      </c>
      <c r="D76" s="49" t="s">
        <v>178</v>
      </c>
      <c r="E76" s="49" t="s">
        <v>248</v>
      </c>
      <c r="F76" s="49"/>
      <c r="G76" s="49"/>
      <c r="H76" s="49"/>
      <c r="I76" s="49"/>
      <c r="J76" s="49"/>
      <c r="K76" s="49"/>
      <c r="L76" s="49" t="s">
        <v>164</v>
      </c>
      <c r="M76" s="49" t="s">
        <v>165</v>
      </c>
      <c r="N76" s="49"/>
      <c r="O76" s="49"/>
      <c r="P76" s="49" t="s">
        <v>164</v>
      </c>
      <c r="Q76" s="49" t="s">
        <v>165</v>
      </c>
      <c r="R76" s="49" t="s">
        <v>173</v>
      </c>
      <c r="S76" s="49" t="s">
        <v>174</v>
      </c>
      <c r="T76" s="49">
        <v>110901</v>
      </c>
      <c r="U76" s="49" t="s">
        <v>95</v>
      </c>
      <c r="V76" s="49" t="s">
        <v>97</v>
      </c>
      <c r="W76" s="49" t="s">
        <v>98</v>
      </c>
      <c r="X76" s="49" t="s">
        <v>132</v>
      </c>
      <c r="Y76" s="49" t="s">
        <v>133</v>
      </c>
      <c r="Z76" s="50" t="s">
        <v>99</v>
      </c>
      <c r="AA76" s="49" t="s">
        <v>100</v>
      </c>
      <c r="AB76" s="49"/>
      <c r="AC76" s="49">
        <v>10000000</v>
      </c>
      <c r="AD76" s="49"/>
      <c r="AE76" s="49">
        <v>10000000</v>
      </c>
      <c r="AF76" s="49"/>
    </row>
    <row r="77" spans="1:32" s="51" customFormat="1">
      <c r="A77" s="52">
        <v>20230401</v>
      </c>
      <c r="B77" s="52">
        <v>20231130</v>
      </c>
      <c r="C77" s="52" t="s">
        <v>94</v>
      </c>
      <c r="D77" s="52" t="s">
        <v>178</v>
      </c>
      <c r="E77" s="52" t="s">
        <v>248</v>
      </c>
      <c r="F77" s="52"/>
      <c r="G77" s="52"/>
      <c r="H77" s="52"/>
      <c r="I77" s="52"/>
      <c r="J77" s="52"/>
      <c r="K77" s="52"/>
      <c r="L77" s="52" t="s">
        <v>164</v>
      </c>
      <c r="M77" s="52" t="s">
        <v>165</v>
      </c>
      <c r="N77" s="52"/>
      <c r="O77" s="52"/>
      <c r="P77" s="52" t="s">
        <v>164</v>
      </c>
      <c r="Q77" s="52" t="s">
        <v>165</v>
      </c>
      <c r="R77" s="52" t="s">
        <v>173</v>
      </c>
      <c r="S77" s="52" t="s">
        <v>174</v>
      </c>
      <c r="T77" s="52">
        <v>110901</v>
      </c>
      <c r="U77" s="52" t="s">
        <v>95</v>
      </c>
      <c r="V77" s="52" t="s">
        <v>97</v>
      </c>
      <c r="W77" s="52" t="s">
        <v>98</v>
      </c>
      <c r="X77" s="53">
        <v>300089008</v>
      </c>
      <c r="Y77" s="52" t="s">
        <v>153</v>
      </c>
      <c r="Z77" s="53"/>
      <c r="AA77" s="52"/>
      <c r="AB77" s="52"/>
      <c r="AC77" s="52">
        <v>7500000</v>
      </c>
      <c r="AD77" s="52">
        <v>1750000</v>
      </c>
      <c r="AE77" s="52">
        <v>1500000</v>
      </c>
      <c r="AF77" s="52">
        <f t="shared" ref="AF77:AF82" si="13">AD77-AE77+AC77</f>
        <v>7750000</v>
      </c>
    </row>
    <row r="78" spans="1:32" s="51" customFormat="1">
      <c r="A78" s="49">
        <v>20230401</v>
      </c>
      <c r="B78" s="49">
        <v>20231130</v>
      </c>
      <c r="C78" s="49" t="s">
        <v>94</v>
      </c>
      <c r="D78" s="49" t="s">
        <v>178</v>
      </c>
      <c r="E78" s="49" t="s">
        <v>248</v>
      </c>
      <c r="F78" s="49"/>
      <c r="G78" s="49"/>
      <c r="H78" s="49"/>
      <c r="I78" s="49"/>
      <c r="J78" s="49"/>
      <c r="K78" s="49"/>
      <c r="L78" s="49" t="s">
        <v>164</v>
      </c>
      <c r="M78" s="49" t="s">
        <v>165</v>
      </c>
      <c r="N78" s="49"/>
      <c r="O78" s="49"/>
      <c r="P78" s="49" t="s">
        <v>164</v>
      </c>
      <c r="Q78" s="49" t="s">
        <v>165</v>
      </c>
      <c r="R78" s="49" t="s">
        <v>173</v>
      </c>
      <c r="S78" s="49" t="s">
        <v>174</v>
      </c>
      <c r="T78" s="49">
        <v>110901</v>
      </c>
      <c r="U78" s="49" t="s">
        <v>95</v>
      </c>
      <c r="V78" s="49" t="s">
        <v>97</v>
      </c>
      <c r="W78" s="49" t="s">
        <v>98</v>
      </c>
      <c r="X78" s="50">
        <v>300089008</v>
      </c>
      <c r="Y78" s="49" t="s">
        <v>153</v>
      </c>
      <c r="Z78" s="50" t="s">
        <v>99</v>
      </c>
      <c r="AA78" s="49" t="s">
        <v>100</v>
      </c>
      <c r="AB78" s="49"/>
      <c r="AC78" s="49">
        <v>250000</v>
      </c>
      <c r="AD78" s="49">
        <v>500000</v>
      </c>
      <c r="AE78" s="49">
        <v>1000000</v>
      </c>
      <c r="AF78" s="49">
        <f t="shared" si="13"/>
        <v>-250000</v>
      </c>
    </row>
    <row r="79" spans="1:32" s="51" customFormat="1">
      <c r="A79" s="52">
        <v>20230401</v>
      </c>
      <c r="B79" s="52">
        <v>20231130</v>
      </c>
      <c r="C79" s="52" t="s">
        <v>94</v>
      </c>
      <c r="D79" s="52" t="s">
        <v>178</v>
      </c>
      <c r="E79" s="52" t="s">
        <v>248</v>
      </c>
      <c r="F79" s="52"/>
      <c r="G79" s="52"/>
      <c r="H79" s="52"/>
      <c r="I79" s="52"/>
      <c r="J79" s="52"/>
      <c r="K79" s="52"/>
      <c r="L79" s="52" t="s">
        <v>164</v>
      </c>
      <c r="M79" s="52" t="s">
        <v>165</v>
      </c>
      <c r="N79" s="52"/>
      <c r="O79" s="52"/>
      <c r="P79" s="52" t="s">
        <v>164</v>
      </c>
      <c r="Q79" s="52" t="s">
        <v>165</v>
      </c>
      <c r="R79" s="52" t="s">
        <v>173</v>
      </c>
      <c r="S79" s="52" t="s">
        <v>174</v>
      </c>
      <c r="T79" s="52">
        <v>110902</v>
      </c>
      <c r="U79" s="52" t="s">
        <v>101</v>
      </c>
      <c r="V79" s="52" t="s">
        <v>97</v>
      </c>
      <c r="W79" s="52" t="s">
        <v>98</v>
      </c>
      <c r="X79" s="52"/>
      <c r="Y79" s="52"/>
      <c r="Z79" s="53"/>
      <c r="AA79" s="52"/>
      <c r="AB79" s="52"/>
      <c r="AC79" s="52">
        <v>15000000</v>
      </c>
      <c r="AD79" s="52">
        <v>1000000</v>
      </c>
      <c r="AE79" s="52">
        <v>750000</v>
      </c>
      <c r="AF79" s="52">
        <f t="shared" si="13"/>
        <v>15250000</v>
      </c>
    </row>
    <row r="80" spans="1:32" s="51" customFormat="1">
      <c r="A80" s="49">
        <v>20230401</v>
      </c>
      <c r="B80" s="49">
        <v>20231130</v>
      </c>
      <c r="C80" s="49" t="s">
        <v>94</v>
      </c>
      <c r="D80" s="49" t="s">
        <v>178</v>
      </c>
      <c r="E80" s="49" t="s">
        <v>248</v>
      </c>
      <c r="F80" s="49"/>
      <c r="G80" s="49"/>
      <c r="H80" s="49"/>
      <c r="I80" s="49"/>
      <c r="J80" s="49"/>
      <c r="K80" s="49"/>
      <c r="L80" s="49" t="s">
        <v>164</v>
      </c>
      <c r="M80" s="49" t="s">
        <v>165</v>
      </c>
      <c r="N80" s="49"/>
      <c r="O80" s="49"/>
      <c r="P80" s="49" t="s">
        <v>164</v>
      </c>
      <c r="Q80" s="49" t="s">
        <v>165</v>
      </c>
      <c r="R80" s="49" t="s">
        <v>173</v>
      </c>
      <c r="S80" s="49" t="s">
        <v>174</v>
      </c>
      <c r="T80" s="49">
        <v>110902</v>
      </c>
      <c r="U80" s="49" t="s">
        <v>101</v>
      </c>
      <c r="V80" s="49" t="s">
        <v>97</v>
      </c>
      <c r="W80" s="49" t="s">
        <v>98</v>
      </c>
      <c r="X80" s="49" t="s">
        <v>132</v>
      </c>
      <c r="Y80" s="49" t="s">
        <v>133</v>
      </c>
      <c r="Z80" s="50"/>
      <c r="AA80" s="49"/>
      <c r="AB80" s="49"/>
      <c r="AC80" s="49">
        <v>17500000</v>
      </c>
      <c r="AD80" s="49">
        <v>750000</v>
      </c>
      <c r="AE80" s="49">
        <v>500000</v>
      </c>
      <c r="AF80" s="49">
        <f t="shared" si="13"/>
        <v>17750000</v>
      </c>
    </row>
    <row r="81" spans="1:32" s="51" customFormat="1">
      <c r="A81" s="52">
        <v>20230401</v>
      </c>
      <c r="B81" s="52">
        <v>20231130</v>
      </c>
      <c r="C81" s="52" t="s">
        <v>94</v>
      </c>
      <c r="D81" s="52" t="s">
        <v>178</v>
      </c>
      <c r="E81" s="52" t="s">
        <v>248</v>
      </c>
      <c r="F81" s="52"/>
      <c r="G81" s="52"/>
      <c r="H81" s="52"/>
      <c r="I81" s="52"/>
      <c r="J81" s="52"/>
      <c r="K81" s="52"/>
      <c r="L81" s="52" t="s">
        <v>164</v>
      </c>
      <c r="M81" s="52" t="s">
        <v>165</v>
      </c>
      <c r="N81" s="52"/>
      <c r="O81" s="52"/>
      <c r="P81" s="52" t="s">
        <v>164</v>
      </c>
      <c r="Q81" s="52" t="s">
        <v>165</v>
      </c>
      <c r="R81" s="52" t="s">
        <v>173</v>
      </c>
      <c r="S81" s="52" t="s">
        <v>174</v>
      </c>
      <c r="T81" s="52">
        <v>110902</v>
      </c>
      <c r="U81" s="52" t="s">
        <v>101</v>
      </c>
      <c r="V81" s="52" t="s">
        <v>97</v>
      </c>
      <c r="W81" s="52" t="s">
        <v>98</v>
      </c>
      <c r="X81" s="52" t="s">
        <v>132</v>
      </c>
      <c r="Y81" s="52" t="s">
        <v>133</v>
      </c>
      <c r="Z81" s="53">
        <v>10002</v>
      </c>
      <c r="AA81" s="52" t="s">
        <v>103</v>
      </c>
      <c r="AB81" s="52"/>
      <c r="AC81" s="52">
        <v>20000000</v>
      </c>
      <c r="AD81" s="52">
        <v>500000</v>
      </c>
      <c r="AE81" s="52">
        <v>1750000</v>
      </c>
      <c r="AF81" s="52">
        <f t="shared" si="13"/>
        <v>18750000</v>
      </c>
    </row>
    <row r="82" spans="1:32" s="51" customFormat="1">
      <c r="A82" s="49">
        <v>20230401</v>
      </c>
      <c r="B82" s="49">
        <v>20231130</v>
      </c>
      <c r="C82" s="49" t="s">
        <v>94</v>
      </c>
      <c r="D82" s="49" t="s">
        <v>178</v>
      </c>
      <c r="E82" s="49" t="s">
        <v>248</v>
      </c>
      <c r="F82" s="49"/>
      <c r="G82" s="49"/>
      <c r="H82" s="49"/>
      <c r="I82" s="49"/>
      <c r="J82" s="49"/>
      <c r="K82" s="49"/>
      <c r="L82" s="49" t="s">
        <v>164</v>
      </c>
      <c r="M82" s="49" t="s">
        <v>165</v>
      </c>
      <c r="N82" s="49"/>
      <c r="O82" s="49"/>
      <c r="P82" s="49" t="s">
        <v>175</v>
      </c>
      <c r="Q82" s="49" t="s">
        <v>176</v>
      </c>
      <c r="R82" s="49" t="s">
        <v>169</v>
      </c>
      <c r="S82" s="49" t="s">
        <v>177</v>
      </c>
      <c r="T82" s="49">
        <v>110501</v>
      </c>
      <c r="U82" s="49" t="s">
        <v>154</v>
      </c>
      <c r="V82" s="49" t="s">
        <v>96</v>
      </c>
      <c r="W82" s="49"/>
      <c r="X82" s="49"/>
      <c r="Y82" s="49"/>
      <c r="Z82" s="50"/>
      <c r="AA82" s="49"/>
      <c r="AB82" s="49"/>
      <c r="AC82" s="49">
        <v>5000000</v>
      </c>
      <c r="AD82" s="49">
        <v>2000000</v>
      </c>
      <c r="AE82" s="49">
        <v>1750000</v>
      </c>
      <c r="AF82" s="49">
        <f t="shared" si="13"/>
        <v>5250000</v>
      </c>
    </row>
    <row r="83" spans="1:32" s="51" customFormat="1">
      <c r="A83" s="52">
        <v>20230401</v>
      </c>
      <c r="B83" s="52">
        <v>20231130</v>
      </c>
      <c r="C83" s="52" t="s">
        <v>94</v>
      </c>
      <c r="D83" s="52" t="s">
        <v>178</v>
      </c>
      <c r="E83" s="52" t="s">
        <v>248</v>
      </c>
      <c r="F83" s="52"/>
      <c r="G83" s="52"/>
      <c r="H83" s="52"/>
      <c r="I83" s="52"/>
      <c r="J83" s="52"/>
      <c r="K83" s="52"/>
      <c r="L83" s="52" t="s">
        <v>164</v>
      </c>
      <c r="M83" s="52" t="s">
        <v>165</v>
      </c>
      <c r="N83" s="52"/>
      <c r="O83" s="52"/>
      <c r="P83" s="52" t="s">
        <v>175</v>
      </c>
      <c r="Q83" s="52" t="s">
        <v>176</v>
      </c>
      <c r="R83" s="52" t="s">
        <v>169</v>
      </c>
      <c r="S83" s="52" t="s">
        <v>177</v>
      </c>
      <c r="T83" s="52">
        <v>110501</v>
      </c>
      <c r="U83" s="52" t="s">
        <v>154</v>
      </c>
      <c r="V83" s="52" t="s">
        <v>96</v>
      </c>
      <c r="W83" s="52"/>
      <c r="X83" s="52" t="s">
        <v>132</v>
      </c>
      <c r="Y83" s="52" t="s">
        <v>133</v>
      </c>
      <c r="Z83" s="53"/>
      <c r="AA83" s="52"/>
      <c r="AB83" s="52"/>
      <c r="AC83" s="52">
        <v>7500000</v>
      </c>
      <c r="AD83" s="52">
        <v>1750000</v>
      </c>
      <c r="AE83" s="52">
        <v>1500000</v>
      </c>
      <c r="AF83" s="52">
        <f t="shared" ref="AF83:AF85" si="14">AD83-AE83+AC83</f>
        <v>7750000</v>
      </c>
    </row>
    <row r="84" spans="1:32" s="51" customFormat="1">
      <c r="A84" s="49">
        <v>20230401</v>
      </c>
      <c r="B84" s="49">
        <v>20231130</v>
      </c>
      <c r="C84" s="49" t="s">
        <v>94</v>
      </c>
      <c r="D84" s="49" t="s">
        <v>178</v>
      </c>
      <c r="E84" s="49" t="s">
        <v>248</v>
      </c>
      <c r="F84" s="49"/>
      <c r="G84" s="49"/>
      <c r="H84" s="49"/>
      <c r="I84" s="49"/>
      <c r="J84" s="49"/>
      <c r="K84" s="49"/>
      <c r="L84" s="49" t="s">
        <v>164</v>
      </c>
      <c r="M84" s="49" t="s">
        <v>165</v>
      </c>
      <c r="N84" s="49"/>
      <c r="O84" s="49"/>
      <c r="P84" s="49" t="s">
        <v>175</v>
      </c>
      <c r="Q84" s="49" t="s">
        <v>176</v>
      </c>
      <c r="R84" s="49" t="s">
        <v>169</v>
      </c>
      <c r="S84" s="49" t="s">
        <v>177</v>
      </c>
      <c r="T84" s="49">
        <v>110901</v>
      </c>
      <c r="U84" s="49" t="s">
        <v>95</v>
      </c>
      <c r="V84" s="49" t="s">
        <v>97</v>
      </c>
      <c r="W84" s="49" t="s">
        <v>98</v>
      </c>
      <c r="X84" s="49"/>
      <c r="Y84" s="49"/>
      <c r="Z84" s="50"/>
      <c r="AA84" s="49"/>
      <c r="AB84" s="49"/>
      <c r="AC84" s="49">
        <v>5000000</v>
      </c>
      <c r="AD84" s="49">
        <v>2000000</v>
      </c>
      <c r="AE84" s="49">
        <v>1750000</v>
      </c>
      <c r="AF84" s="49">
        <f t="shared" si="14"/>
        <v>5250000</v>
      </c>
    </row>
    <row r="85" spans="1:32" s="51" customFormat="1">
      <c r="A85" s="52">
        <v>20230401</v>
      </c>
      <c r="B85" s="52">
        <v>20231130</v>
      </c>
      <c r="C85" s="52" t="s">
        <v>94</v>
      </c>
      <c r="D85" s="52" t="s">
        <v>178</v>
      </c>
      <c r="E85" s="52" t="s">
        <v>248</v>
      </c>
      <c r="F85" s="52"/>
      <c r="G85" s="52"/>
      <c r="H85" s="52"/>
      <c r="I85" s="52"/>
      <c r="J85" s="52"/>
      <c r="K85" s="52"/>
      <c r="L85" s="52" t="s">
        <v>164</v>
      </c>
      <c r="M85" s="52" t="s">
        <v>165</v>
      </c>
      <c r="N85" s="52"/>
      <c r="O85" s="52"/>
      <c r="P85" s="52" t="s">
        <v>175</v>
      </c>
      <c r="Q85" s="52" t="s">
        <v>176</v>
      </c>
      <c r="R85" s="52" t="s">
        <v>169</v>
      </c>
      <c r="S85" s="52" t="s">
        <v>177</v>
      </c>
      <c r="T85" s="52">
        <v>110901</v>
      </c>
      <c r="U85" s="52" t="s">
        <v>95</v>
      </c>
      <c r="V85" s="52" t="s">
        <v>97</v>
      </c>
      <c r="W85" s="52" t="s">
        <v>98</v>
      </c>
      <c r="X85" s="52" t="s">
        <v>132</v>
      </c>
      <c r="Y85" s="52" t="s">
        <v>133</v>
      </c>
      <c r="Z85" s="53"/>
      <c r="AA85" s="52"/>
      <c r="AB85" s="52"/>
      <c r="AC85" s="52">
        <v>7500000</v>
      </c>
      <c r="AD85" s="52">
        <v>1750000</v>
      </c>
      <c r="AE85" s="52">
        <v>1500000</v>
      </c>
      <c r="AF85" s="52">
        <f t="shared" si="14"/>
        <v>7750000</v>
      </c>
    </row>
    <row r="86" spans="1:32" s="51" customFormat="1">
      <c r="A86" s="49">
        <v>20230401</v>
      </c>
      <c r="B86" s="49">
        <v>20231130</v>
      </c>
      <c r="C86" s="49" t="s">
        <v>94</v>
      </c>
      <c r="D86" s="49" t="s">
        <v>178</v>
      </c>
      <c r="E86" s="49" t="s">
        <v>248</v>
      </c>
      <c r="F86" s="49"/>
      <c r="G86" s="49"/>
      <c r="H86" s="49"/>
      <c r="I86" s="49"/>
      <c r="J86" s="49"/>
      <c r="K86" s="49"/>
      <c r="L86" s="49" t="s">
        <v>164</v>
      </c>
      <c r="M86" s="49" t="s">
        <v>165</v>
      </c>
      <c r="N86" s="49"/>
      <c r="O86" s="49"/>
      <c r="P86" s="49" t="s">
        <v>175</v>
      </c>
      <c r="Q86" s="49" t="s">
        <v>176</v>
      </c>
      <c r="R86" s="49" t="s">
        <v>169</v>
      </c>
      <c r="S86" s="49" t="s">
        <v>177</v>
      </c>
      <c r="T86" s="49">
        <v>110901</v>
      </c>
      <c r="U86" s="49" t="s">
        <v>95</v>
      </c>
      <c r="V86" s="49" t="s">
        <v>97</v>
      </c>
      <c r="W86" s="49" t="s">
        <v>98</v>
      </c>
      <c r="X86" s="49" t="s">
        <v>132</v>
      </c>
      <c r="Y86" s="49" t="s">
        <v>133</v>
      </c>
      <c r="Z86" s="50" t="s">
        <v>99</v>
      </c>
      <c r="AA86" s="49" t="s">
        <v>100</v>
      </c>
      <c r="AB86" s="49"/>
      <c r="AC86" s="49">
        <v>10000000</v>
      </c>
      <c r="AD86" s="49"/>
      <c r="AE86" s="49">
        <v>10000000</v>
      </c>
      <c r="AF86" s="49"/>
    </row>
    <row r="87" spans="1:32" s="51" customFormat="1">
      <c r="A87" s="52">
        <v>20230401</v>
      </c>
      <c r="B87" s="52">
        <v>20231130</v>
      </c>
      <c r="C87" s="52" t="s">
        <v>94</v>
      </c>
      <c r="D87" s="52" t="s">
        <v>178</v>
      </c>
      <c r="E87" s="52" t="s">
        <v>248</v>
      </c>
      <c r="F87" s="52"/>
      <c r="G87" s="52"/>
      <c r="H87" s="52"/>
      <c r="I87" s="52"/>
      <c r="J87" s="52"/>
      <c r="K87" s="52"/>
      <c r="L87" s="52" t="s">
        <v>164</v>
      </c>
      <c r="M87" s="52" t="s">
        <v>165</v>
      </c>
      <c r="N87" s="52"/>
      <c r="O87" s="52"/>
      <c r="P87" s="52" t="s">
        <v>175</v>
      </c>
      <c r="Q87" s="52" t="s">
        <v>176</v>
      </c>
      <c r="R87" s="52" t="s">
        <v>169</v>
      </c>
      <c r="S87" s="52" t="s">
        <v>177</v>
      </c>
      <c r="T87" s="52">
        <v>110901</v>
      </c>
      <c r="U87" s="52" t="s">
        <v>95</v>
      </c>
      <c r="V87" s="52" t="s">
        <v>97</v>
      </c>
      <c r="W87" s="52" t="s">
        <v>98</v>
      </c>
      <c r="X87" s="53">
        <v>300089008</v>
      </c>
      <c r="Y87" s="52" t="s">
        <v>153</v>
      </c>
      <c r="Z87" s="53"/>
      <c r="AA87" s="52"/>
      <c r="AB87" s="52"/>
      <c r="AC87" s="52">
        <v>7500000</v>
      </c>
      <c r="AD87" s="52">
        <v>1750000</v>
      </c>
      <c r="AE87" s="52">
        <v>1500000</v>
      </c>
      <c r="AF87" s="52">
        <f t="shared" ref="AF87:AF91" si="15">AD87-AE87+AC87</f>
        <v>7750000</v>
      </c>
    </row>
    <row r="88" spans="1:32" s="51" customFormat="1">
      <c r="A88" s="49">
        <v>20230401</v>
      </c>
      <c r="B88" s="49">
        <v>20231130</v>
      </c>
      <c r="C88" s="49" t="s">
        <v>94</v>
      </c>
      <c r="D88" s="49" t="s">
        <v>178</v>
      </c>
      <c r="E88" s="49" t="s">
        <v>248</v>
      </c>
      <c r="F88" s="49"/>
      <c r="G88" s="49"/>
      <c r="H88" s="49"/>
      <c r="I88" s="49"/>
      <c r="J88" s="49"/>
      <c r="K88" s="49"/>
      <c r="L88" s="49" t="s">
        <v>164</v>
      </c>
      <c r="M88" s="49" t="s">
        <v>165</v>
      </c>
      <c r="N88" s="49"/>
      <c r="O88" s="49"/>
      <c r="P88" s="49" t="s">
        <v>175</v>
      </c>
      <c r="Q88" s="49" t="s">
        <v>176</v>
      </c>
      <c r="R88" s="49" t="s">
        <v>169</v>
      </c>
      <c r="S88" s="49" t="s">
        <v>177</v>
      </c>
      <c r="T88" s="49">
        <v>110901</v>
      </c>
      <c r="U88" s="49" t="s">
        <v>95</v>
      </c>
      <c r="V88" s="49" t="s">
        <v>97</v>
      </c>
      <c r="W88" s="49" t="s">
        <v>98</v>
      </c>
      <c r="X88" s="50">
        <v>300089008</v>
      </c>
      <c r="Y88" s="49" t="s">
        <v>153</v>
      </c>
      <c r="Z88" s="50" t="s">
        <v>99</v>
      </c>
      <c r="AA88" s="49" t="s">
        <v>100</v>
      </c>
      <c r="AB88" s="49"/>
      <c r="AC88" s="49">
        <v>250000</v>
      </c>
      <c r="AD88" s="49">
        <v>500000</v>
      </c>
      <c r="AE88" s="49">
        <v>1000000</v>
      </c>
      <c r="AF88" s="49">
        <f t="shared" si="15"/>
        <v>-250000</v>
      </c>
    </row>
    <row r="89" spans="1:32" s="51" customFormat="1">
      <c r="A89" s="52">
        <v>20230401</v>
      </c>
      <c r="B89" s="52">
        <v>20231130</v>
      </c>
      <c r="C89" s="52" t="s">
        <v>94</v>
      </c>
      <c r="D89" s="52" t="s">
        <v>178</v>
      </c>
      <c r="E89" s="52" t="s">
        <v>248</v>
      </c>
      <c r="F89" s="52"/>
      <c r="G89" s="52"/>
      <c r="H89" s="52"/>
      <c r="I89" s="52"/>
      <c r="J89" s="52"/>
      <c r="K89" s="52"/>
      <c r="L89" s="52" t="s">
        <v>164</v>
      </c>
      <c r="M89" s="52" t="s">
        <v>165</v>
      </c>
      <c r="N89" s="52"/>
      <c r="O89" s="52"/>
      <c r="P89" s="52" t="s">
        <v>175</v>
      </c>
      <c r="Q89" s="52" t="s">
        <v>176</v>
      </c>
      <c r="R89" s="52" t="s">
        <v>169</v>
      </c>
      <c r="S89" s="52" t="s">
        <v>177</v>
      </c>
      <c r="T89" s="52">
        <v>110902</v>
      </c>
      <c r="U89" s="52" t="s">
        <v>101</v>
      </c>
      <c r="V89" s="52" t="s">
        <v>97</v>
      </c>
      <c r="W89" s="52" t="s">
        <v>98</v>
      </c>
      <c r="X89" s="52"/>
      <c r="Y89" s="52"/>
      <c r="Z89" s="53"/>
      <c r="AA89" s="52"/>
      <c r="AB89" s="52"/>
      <c r="AC89" s="52">
        <v>15000000</v>
      </c>
      <c r="AD89" s="52">
        <v>1000000</v>
      </c>
      <c r="AE89" s="52">
        <v>750000</v>
      </c>
      <c r="AF89" s="52">
        <f t="shared" si="15"/>
        <v>15250000</v>
      </c>
    </row>
    <row r="90" spans="1:32" s="51" customFormat="1">
      <c r="A90" s="49">
        <v>20230401</v>
      </c>
      <c r="B90" s="49">
        <v>20231130</v>
      </c>
      <c r="C90" s="49" t="s">
        <v>94</v>
      </c>
      <c r="D90" s="49" t="s">
        <v>178</v>
      </c>
      <c r="E90" s="49" t="s">
        <v>248</v>
      </c>
      <c r="F90" s="49"/>
      <c r="G90" s="49"/>
      <c r="H90" s="49"/>
      <c r="I90" s="49"/>
      <c r="J90" s="49"/>
      <c r="K90" s="49"/>
      <c r="L90" s="49" t="s">
        <v>164</v>
      </c>
      <c r="M90" s="49" t="s">
        <v>165</v>
      </c>
      <c r="N90" s="49"/>
      <c r="O90" s="49"/>
      <c r="P90" s="49" t="s">
        <v>175</v>
      </c>
      <c r="Q90" s="49" t="s">
        <v>176</v>
      </c>
      <c r="R90" s="49" t="s">
        <v>169</v>
      </c>
      <c r="S90" s="49" t="s">
        <v>177</v>
      </c>
      <c r="T90" s="49">
        <v>110902</v>
      </c>
      <c r="U90" s="49" t="s">
        <v>101</v>
      </c>
      <c r="V90" s="49" t="s">
        <v>97</v>
      </c>
      <c r="W90" s="49" t="s">
        <v>98</v>
      </c>
      <c r="X90" s="49" t="s">
        <v>132</v>
      </c>
      <c r="Y90" s="49" t="s">
        <v>133</v>
      </c>
      <c r="Z90" s="50"/>
      <c r="AA90" s="49"/>
      <c r="AB90" s="49"/>
      <c r="AC90" s="49">
        <v>17500000</v>
      </c>
      <c r="AD90" s="49">
        <v>750000</v>
      </c>
      <c r="AE90" s="49">
        <v>500000</v>
      </c>
      <c r="AF90" s="49">
        <f t="shared" si="15"/>
        <v>17750000</v>
      </c>
    </row>
    <row r="91" spans="1:32" s="51" customFormat="1">
      <c r="A91" s="52">
        <v>20230401</v>
      </c>
      <c r="B91" s="52">
        <v>20231130</v>
      </c>
      <c r="C91" s="52" t="s">
        <v>94</v>
      </c>
      <c r="D91" s="52" t="s">
        <v>178</v>
      </c>
      <c r="E91" s="52" t="s">
        <v>248</v>
      </c>
      <c r="F91" s="52"/>
      <c r="G91" s="52"/>
      <c r="H91" s="52"/>
      <c r="I91" s="52"/>
      <c r="J91" s="52"/>
      <c r="K91" s="52"/>
      <c r="L91" s="52" t="s">
        <v>164</v>
      </c>
      <c r="M91" s="52" t="s">
        <v>165</v>
      </c>
      <c r="N91" s="52"/>
      <c r="O91" s="52"/>
      <c r="P91" s="52" t="s">
        <v>175</v>
      </c>
      <c r="Q91" s="52" t="s">
        <v>176</v>
      </c>
      <c r="R91" s="52" t="s">
        <v>169</v>
      </c>
      <c r="S91" s="52" t="s">
        <v>177</v>
      </c>
      <c r="T91" s="52">
        <v>110902</v>
      </c>
      <c r="U91" s="52" t="s">
        <v>101</v>
      </c>
      <c r="V91" s="52" t="s">
        <v>97</v>
      </c>
      <c r="W91" s="52" t="s">
        <v>98</v>
      </c>
      <c r="X91" s="52" t="s">
        <v>132</v>
      </c>
      <c r="Y91" s="52" t="s">
        <v>133</v>
      </c>
      <c r="Z91" s="53">
        <v>10002</v>
      </c>
      <c r="AA91" s="52" t="s">
        <v>103</v>
      </c>
      <c r="AB91" s="52"/>
      <c r="AC91" s="52">
        <v>20000000</v>
      </c>
      <c r="AD91" s="52">
        <v>500000</v>
      </c>
      <c r="AE91" s="52">
        <v>1750000</v>
      </c>
      <c r="AF91" s="52">
        <f t="shared" si="15"/>
        <v>18750000</v>
      </c>
    </row>
    <row r="92" spans="1:32" s="51" customFormat="1">
      <c r="A92" s="49">
        <v>20230401</v>
      </c>
      <c r="B92" s="49">
        <v>20231130</v>
      </c>
      <c r="C92" s="49" t="s">
        <v>94</v>
      </c>
      <c r="D92" s="49" t="s">
        <v>178</v>
      </c>
      <c r="E92" s="49" t="s">
        <v>248</v>
      </c>
      <c r="F92" s="49"/>
      <c r="G92" s="49"/>
      <c r="H92" s="49"/>
      <c r="I92" s="49"/>
      <c r="J92" s="49"/>
      <c r="K92" s="49"/>
      <c r="L92" s="49" t="s">
        <v>164</v>
      </c>
      <c r="M92" s="49" t="s">
        <v>165</v>
      </c>
      <c r="N92" s="49"/>
      <c r="O92" s="49"/>
      <c r="P92" s="49" t="s">
        <v>171</v>
      </c>
      <c r="Q92" s="49" t="s">
        <v>172</v>
      </c>
      <c r="R92" s="49" t="s">
        <v>173</v>
      </c>
      <c r="S92" s="49" t="s">
        <v>174</v>
      </c>
      <c r="T92" s="49">
        <v>110501</v>
      </c>
      <c r="U92" s="49" t="s">
        <v>154</v>
      </c>
      <c r="V92" s="49" t="s">
        <v>96</v>
      </c>
      <c r="W92" s="49"/>
      <c r="X92" s="49"/>
      <c r="Y92" s="49"/>
      <c r="Z92" s="50"/>
      <c r="AA92" s="49"/>
      <c r="AB92" s="49"/>
      <c r="AC92" s="49">
        <v>5000000</v>
      </c>
      <c r="AD92" s="49">
        <v>2000000</v>
      </c>
      <c r="AE92" s="49">
        <v>1750000</v>
      </c>
      <c r="AF92" s="49">
        <f>AD92-AE92+AC92</f>
        <v>5250000</v>
      </c>
    </row>
    <row r="93" spans="1:32" s="51" customFormat="1">
      <c r="A93" s="52">
        <v>20230401</v>
      </c>
      <c r="B93" s="52">
        <v>20231130</v>
      </c>
      <c r="C93" s="52" t="s">
        <v>94</v>
      </c>
      <c r="D93" s="52" t="s">
        <v>178</v>
      </c>
      <c r="E93" s="52" t="s">
        <v>248</v>
      </c>
      <c r="F93" s="52"/>
      <c r="G93" s="52"/>
      <c r="H93" s="52"/>
      <c r="I93" s="52"/>
      <c r="J93" s="52"/>
      <c r="K93" s="52"/>
      <c r="L93" s="52" t="s">
        <v>164</v>
      </c>
      <c r="M93" s="52" t="s">
        <v>165</v>
      </c>
      <c r="N93" s="52"/>
      <c r="O93" s="52"/>
      <c r="P93" s="52" t="s">
        <v>171</v>
      </c>
      <c r="Q93" s="52" t="s">
        <v>172</v>
      </c>
      <c r="R93" s="52" t="s">
        <v>173</v>
      </c>
      <c r="S93" s="52" t="s">
        <v>174</v>
      </c>
      <c r="T93" s="52">
        <v>110501</v>
      </c>
      <c r="U93" s="52" t="s">
        <v>154</v>
      </c>
      <c r="V93" s="52" t="s">
        <v>96</v>
      </c>
      <c r="W93" s="52"/>
      <c r="X93" s="52" t="s">
        <v>132</v>
      </c>
      <c r="Y93" s="52" t="s">
        <v>133</v>
      </c>
      <c r="Z93" s="53"/>
      <c r="AA93" s="52"/>
      <c r="AB93" s="52"/>
      <c r="AC93" s="52">
        <v>7500000</v>
      </c>
      <c r="AD93" s="52">
        <v>1750000</v>
      </c>
      <c r="AE93" s="52">
        <v>1500000</v>
      </c>
      <c r="AF93" s="52">
        <f t="shared" ref="AF93:AF95" si="16">AD93-AE93+AC93</f>
        <v>7750000</v>
      </c>
    </row>
    <row r="94" spans="1:32" s="51" customFormat="1">
      <c r="A94" s="49">
        <v>20230401</v>
      </c>
      <c r="B94" s="49">
        <v>20231130</v>
      </c>
      <c r="C94" s="49" t="s">
        <v>94</v>
      </c>
      <c r="D94" s="49" t="s">
        <v>178</v>
      </c>
      <c r="E94" s="49" t="s">
        <v>248</v>
      </c>
      <c r="F94" s="49"/>
      <c r="G94" s="49"/>
      <c r="H94" s="49"/>
      <c r="I94" s="49"/>
      <c r="J94" s="49"/>
      <c r="K94" s="49"/>
      <c r="L94" s="49" t="s">
        <v>164</v>
      </c>
      <c r="M94" s="49" t="s">
        <v>165</v>
      </c>
      <c r="N94" s="49"/>
      <c r="O94" s="49"/>
      <c r="P94" s="49" t="s">
        <v>171</v>
      </c>
      <c r="Q94" s="49" t="s">
        <v>172</v>
      </c>
      <c r="R94" s="49" t="s">
        <v>173</v>
      </c>
      <c r="S94" s="49" t="s">
        <v>174</v>
      </c>
      <c r="T94" s="49">
        <v>110901</v>
      </c>
      <c r="U94" s="49" t="s">
        <v>95</v>
      </c>
      <c r="V94" s="49" t="s">
        <v>97</v>
      </c>
      <c r="W94" s="49" t="s">
        <v>98</v>
      </c>
      <c r="X94" s="49"/>
      <c r="Y94" s="49"/>
      <c r="Z94" s="50"/>
      <c r="AA94" s="49"/>
      <c r="AB94" s="49"/>
      <c r="AC94" s="49">
        <v>5000000</v>
      </c>
      <c r="AD94" s="49">
        <v>2000000</v>
      </c>
      <c r="AE94" s="49">
        <v>1750000</v>
      </c>
      <c r="AF94" s="49">
        <f t="shared" si="16"/>
        <v>5250000</v>
      </c>
    </row>
    <row r="95" spans="1:32" s="51" customFormat="1">
      <c r="A95" s="52">
        <v>20230401</v>
      </c>
      <c r="B95" s="52">
        <v>20231130</v>
      </c>
      <c r="C95" s="52" t="s">
        <v>94</v>
      </c>
      <c r="D95" s="52" t="s">
        <v>178</v>
      </c>
      <c r="E95" s="52" t="s">
        <v>248</v>
      </c>
      <c r="F95" s="52"/>
      <c r="G95" s="52"/>
      <c r="H95" s="52"/>
      <c r="I95" s="52"/>
      <c r="J95" s="52"/>
      <c r="K95" s="52"/>
      <c r="L95" s="52" t="s">
        <v>164</v>
      </c>
      <c r="M95" s="52" t="s">
        <v>165</v>
      </c>
      <c r="N95" s="52"/>
      <c r="O95" s="52"/>
      <c r="P95" s="52" t="s">
        <v>171</v>
      </c>
      <c r="Q95" s="52" t="s">
        <v>172</v>
      </c>
      <c r="R95" s="52" t="s">
        <v>173</v>
      </c>
      <c r="S95" s="52" t="s">
        <v>174</v>
      </c>
      <c r="T95" s="52">
        <v>110901</v>
      </c>
      <c r="U95" s="52" t="s">
        <v>95</v>
      </c>
      <c r="V95" s="52" t="s">
        <v>97</v>
      </c>
      <c r="W95" s="52" t="s">
        <v>98</v>
      </c>
      <c r="X95" s="52" t="s">
        <v>132</v>
      </c>
      <c r="Y95" s="52" t="s">
        <v>133</v>
      </c>
      <c r="Z95" s="53"/>
      <c r="AA95" s="52"/>
      <c r="AB95" s="52"/>
      <c r="AC95" s="52">
        <v>7500000</v>
      </c>
      <c r="AD95" s="52">
        <v>1750000</v>
      </c>
      <c r="AE95" s="52">
        <v>1500000</v>
      </c>
      <c r="AF95" s="52">
        <f t="shared" si="16"/>
        <v>7750000</v>
      </c>
    </row>
    <row r="96" spans="1:32" s="51" customFormat="1">
      <c r="A96" s="49">
        <v>20230401</v>
      </c>
      <c r="B96" s="49">
        <v>20231130</v>
      </c>
      <c r="C96" s="49" t="s">
        <v>94</v>
      </c>
      <c r="D96" s="49" t="s">
        <v>178</v>
      </c>
      <c r="E96" s="49" t="s">
        <v>248</v>
      </c>
      <c r="F96" s="49"/>
      <c r="G96" s="49"/>
      <c r="H96" s="49"/>
      <c r="I96" s="49"/>
      <c r="J96" s="49"/>
      <c r="K96" s="49"/>
      <c r="L96" s="49" t="s">
        <v>164</v>
      </c>
      <c r="M96" s="49" t="s">
        <v>165</v>
      </c>
      <c r="N96" s="49"/>
      <c r="O96" s="49"/>
      <c r="P96" s="49" t="s">
        <v>171</v>
      </c>
      <c r="Q96" s="49" t="s">
        <v>172</v>
      </c>
      <c r="R96" s="49" t="s">
        <v>173</v>
      </c>
      <c r="S96" s="49" t="s">
        <v>174</v>
      </c>
      <c r="T96" s="49">
        <v>110901</v>
      </c>
      <c r="U96" s="49" t="s">
        <v>95</v>
      </c>
      <c r="V96" s="49" t="s">
        <v>97</v>
      </c>
      <c r="W96" s="49" t="s">
        <v>98</v>
      </c>
      <c r="X96" s="49" t="s">
        <v>132</v>
      </c>
      <c r="Y96" s="49" t="s">
        <v>133</v>
      </c>
      <c r="Z96" s="50" t="s">
        <v>99</v>
      </c>
      <c r="AA96" s="49" t="s">
        <v>100</v>
      </c>
      <c r="AB96" s="49"/>
      <c r="AC96" s="49">
        <v>10000000</v>
      </c>
      <c r="AD96" s="49"/>
      <c r="AE96" s="49">
        <v>10000000</v>
      </c>
      <c r="AF96" s="49"/>
    </row>
    <row r="97" spans="1:32" s="51" customFormat="1">
      <c r="A97" s="52">
        <v>20230401</v>
      </c>
      <c r="B97" s="52">
        <v>20231130</v>
      </c>
      <c r="C97" s="52" t="s">
        <v>94</v>
      </c>
      <c r="D97" s="52" t="s">
        <v>178</v>
      </c>
      <c r="E97" s="52" t="s">
        <v>248</v>
      </c>
      <c r="F97" s="52"/>
      <c r="G97" s="52"/>
      <c r="H97" s="52"/>
      <c r="I97" s="52"/>
      <c r="J97" s="52"/>
      <c r="K97" s="52"/>
      <c r="L97" s="52" t="s">
        <v>164</v>
      </c>
      <c r="M97" s="52" t="s">
        <v>165</v>
      </c>
      <c r="N97" s="52"/>
      <c r="O97" s="52"/>
      <c r="P97" s="52" t="s">
        <v>171</v>
      </c>
      <c r="Q97" s="52" t="s">
        <v>172</v>
      </c>
      <c r="R97" s="52" t="s">
        <v>173</v>
      </c>
      <c r="S97" s="52" t="s">
        <v>174</v>
      </c>
      <c r="T97" s="52">
        <v>110901</v>
      </c>
      <c r="U97" s="52" t="s">
        <v>95</v>
      </c>
      <c r="V97" s="52" t="s">
        <v>97</v>
      </c>
      <c r="W97" s="52" t="s">
        <v>98</v>
      </c>
      <c r="X97" s="53">
        <v>300089008</v>
      </c>
      <c r="Y97" s="52" t="s">
        <v>153</v>
      </c>
      <c r="Z97" s="53"/>
      <c r="AA97" s="52"/>
      <c r="AB97" s="52"/>
      <c r="AC97" s="52">
        <v>7500000</v>
      </c>
      <c r="AD97" s="52">
        <v>1750000</v>
      </c>
      <c r="AE97" s="52">
        <v>1500000</v>
      </c>
      <c r="AF97" s="52">
        <f t="shared" ref="AF97:AF101" si="17">AD97-AE97+AC97</f>
        <v>7750000</v>
      </c>
    </row>
    <row r="98" spans="1:32" s="51" customFormat="1">
      <c r="A98" s="49">
        <v>20230401</v>
      </c>
      <c r="B98" s="49">
        <v>20231130</v>
      </c>
      <c r="C98" s="49" t="s">
        <v>94</v>
      </c>
      <c r="D98" s="49" t="s">
        <v>178</v>
      </c>
      <c r="E98" s="49" t="s">
        <v>248</v>
      </c>
      <c r="F98" s="49"/>
      <c r="G98" s="49"/>
      <c r="H98" s="49"/>
      <c r="I98" s="49"/>
      <c r="J98" s="49"/>
      <c r="K98" s="49"/>
      <c r="L98" s="49" t="s">
        <v>164</v>
      </c>
      <c r="M98" s="49" t="s">
        <v>165</v>
      </c>
      <c r="N98" s="49"/>
      <c r="O98" s="49"/>
      <c r="P98" s="49" t="s">
        <v>171</v>
      </c>
      <c r="Q98" s="49" t="s">
        <v>172</v>
      </c>
      <c r="R98" s="49" t="s">
        <v>173</v>
      </c>
      <c r="S98" s="49" t="s">
        <v>174</v>
      </c>
      <c r="T98" s="49">
        <v>110901</v>
      </c>
      <c r="U98" s="49" t="s">
        <v>95</v>
      </c>
      <c r="V98" s="49" t="s">
        <v>97</v>
      </c>
      <c r="W98" s="49" t="s">
        <v>98</v>
      </c>
      <c r="X98" s="50">
        <v>300089008</v>
      </c>
      <c r="Y98" s="49" t="s">
        <v>153</v>
      </c>
      <c r="Z98" s="50" t="s">
        <v>99</v>
      </c>
      <c r="AA98" s="49" t="s">
        <v>100</v>
      </c>
      <c r="AB98" s="49"/>
      <c r="AC98" s="49">
        <v>250000</v>
      </c>
      <c r="AD98" s="49">
        <v>500000</v>
      </c>
      <c r="AE98" s="49">
        <v>1000000</v>
      </c>
      <c r="AF98" s="49">
        <f t="shared" si="17"/>
        <v>-250000</v>
      </c>
    </row>
    <row r="99" spans="1:32" s="51" customFormat="1">
      <c r="A99" s="52">
        <v>20230401</v>
      </c>
      <c r="B99" s="52">
        <v>20231130</v>
      </c>
      <c r="C99" s="52" t="s">
        <v>94</v>
      </c>
      <c r="D99" s="52" t="s">
        <v>178</v>
      </c>
      <c r="E99" s="52" t="s">
        <v>248</v>
      </c>
      <c r="F99" s="52"/>
      <c r="G99" s="52"/>
      <c r="H99" s="52"/>
      <c r="I99" s="52"/>
      <c r="J99" s="52"/>
      <c r="K99" s="52"/>
      <c r="L99" s="52" t="s">
        <v>164</v>
      </c>
      <c r="M99" s="52" t="s">
        <v>165</v>
      </c>
      <c r="N99" s="52"/>
      <c r="O99" s="52"/>
      <c r="P99" s="52" t="s">
        <v>171</v>
      </c>
      <c r="Q99" s="52" t="s">
        <v>172</v>
      </c>
      <c r="R99" s="52" t="s">
        <v>173</v>
      </c>
      <c r="S99" s="52" t="s">
        <v>174</v>
      </c>
      <c r="T99" s="52">
        <v>110902</v>
      </c>
      <c r="U99" s="52" t="s">
        <v>101</v>
      </c>
      <c r="V99" s="52" t="s">
        <v>97</v>
      </c>
      <c r="W99" s="52" t="s">
        <v>98</v>
      </c>
      <c r="X99" s="52"/>
      <c r="Y99" s="52"/>
      <c r="Z99" s="53"/>
      <c r="AA99" s="52"/>
      <c r="AB99" s="52"/>
      <c r="AC99" s="52">
        <v>15000000</v>
      </c>
      <c r="AD99" s="52">
        <v>1000000</v>
      </c>
      <c r="AE99" s="52">
        <v>750000</v>
      </c>
      <c r="AF99" s="52">
        <f t="shared" si="17"/>
        <v>15250000</v>
      </c>
    </row>
    <row r="100" spans="1:32" s="51" customFormat="1">
      <c r="A100" s="49">
        <v>20230401</v>
      </c>
      <c r="B100" s="49">
        <v>20231130</v>
      </c>
      <c r="C100" s="49" t="s">
        <v>94</v>
      </c>
      <c r="D100" s="49" t="s">
        <v>178</v>
      </c>
      <c r="E100" s="49" t="s">
        <v>248</v>
      </c>
      <c r="F100" s="49"/>
      <c r="G100" s="49"/>
      <c r="H100" s="49"/>
      <c r="I100" s="49"/>
      <c r="J100" s="49"/>
      <c r="K100" s="49"/>
      <c r="L100" s="49" t="s">
        <v>164</v>
      </c>
      <c r="M100" s="49" t="s">
        <v>165</v>
      </c>
      <c r="N100" s="49"/>
      <c r="O100" s="49"/>
      <c r="P100" s="49" t="s">
        <v>171</v>
      </c>
      <c r="Q100" s="49" t="s">
        <v>172</v>
      </c>
      <c r="R100" s="49" t="s">
        <v>173</v>
      </c>
      <c r="S100" s="49" t="s">
        <v>174</v>
      </c>
      <c r="T100" s="49">
        <v>110902</v>
      </c>
      <c r="U100" s="49" t="s">
        <v>101</v>
      </c>
      <c r="V100" s="49" t="s">
        <v>97</v>
      </c>
      <c r="W100" s="49" t="s">
        <v>98</v>
      </c>
      <c r="X100" s="49" t="s">
        <v>132</v>
      </c>
      <c r="Y100" s="49" t="s">
        <v>133</v>
      </c>
      <c r="Z100" s="50"/>
      <c r="AA100" s="49"/>
      <c r="AB100" s="49"/>
      <c r="AC100" s="49">
        <v>17500000</v>
      </c>
      <c r="AD100" s="49">
        <v>750000</v>
      </c>
      <c r="AE100" s="49">
        <v>500000</v>
      </c>
      <c r="AF100" s="49">
        <f t="shared" si="17"/>
        <v>17750000</v>
      </c>
    </row>
    <row r="101" spans="1:32" s="51" customFormat="1">
      <c r="A101" s="52">
        <v>20230401</v>
      </c>
      <c r="B101" s="52">
        <v>20231130</v>
      </c>
      <c r="C101" s="52" t="s">
        <v>94</v>
      </c>
      <c r="D101" s="52" t="s">
        <v>178</v>
      </c>
      <c r="E101" s="52" t="s">
        <v>248</v>
      </c>
      <c r="F101" s="52"/>
      <c r="G101" s="52"/>
      <c r="H101" s="52"/>
      <c r="I101" s="52"/>
      <c r="J101" s="52"/>
      <c r="K101" s="52"/>
      <c r="L101" s="52" t="s">
        <v>164</v>
      </c>
      <c r="M101" s="52" t="s">
        <v>165</v>
      </c>
      <c r="N101" s="52"/>
      <c r="O101" s="52"/>
      <c r="P101" s="52" t="s">
        <v>171</v>
      </c>
      <c r="Q101" s="52" t="s">
        <v>172</v>
      </c>
      <c r="R101" s="52" t="s">
        <v>173</v>
      </c>
      <c r="S101" s="52" t="s">
        <v>174</v>
      </c>
      <c r="T101" s="52">
        <v>110902</v>
      </c>
      <c r="U101" s="52" t="s">
        <v>101</v>
      </c>
      <c r="V101" s="52" t="s">
        <v>97</v>
      </c>
      <c r="W101" s="52" t="s">
        <v>98</v>
      </c>
      <c r="X101" s="52" t="s">
        <v>132</v>
      </c>
      <c r="Y101" s="52" t="s">
        <v>133</v>
      </c>
      <c r="Z101" s="53">
        <v>10002</v>
      </c>
      <c r="AA101" s="52" t="s">
        <v>103</v>
      </c>
      <c r="AB101" s="52"/>
      <c r="AC101" s="52">
        <v>20000000</v>
      </c>
      <c r="AD101" s="52">
        <v>500000</v>
      </c>
      <c r="AE101" s="52">
        <v>1750000</v>
      </c>
      <c r="AF101" s="52">
        <f t="shared" si="17"/>
        <v>18750000</v>
      </c>
    </row>
    <row r="102" spans="1:32" s="51" customFormat="1">
      <c r="V102" s="54"/>
      <c r="Z102" s="55"/>
    </row>
    <row r="103" spans="1:32">
      <c r="A103" s="32" t="s">
        <v>105</v>
      </c>
      <c r="Z103" s="56"/>
    </row>
    <row r="104" spans="1:32" ht="26.4">
      <c r="A104" s="48" t="s">
        <v>74</v>
      </c>
      <c r="B104" s="48" t="s">
        <v>75</v>
      </c>
      <c r="C104" s="48" t="s">
        <v>76</v>
      </c>
      <c r="D104" s="48" t="s">
        <v>138</v>
      </c>
      <c r="E104" s="48" t="s">
        <v>139</v>
      </c>
      <c r="F104" s="48" t="s">
        <v>77</v>
      </c>
      <c r="G104" s="48" t="s">
        <v>78</v>
      </c>
      <c r="H104" s="48" t="s">
        <v>79</v>
      </c>
      <c r="I104" s="48" t="s">
        <v>80</v>
      </c>
      <c r="J104" s="48" t="s">
        <v>81</v>
      </c>
      <c r="K104" s="48" t="s">
        <v>82</v>
      </c>
      <c r="L104" s="34" t="s">
        <v>155</v>
      </c>
      <c r="M104" s="34" t="s">
        <v>156</v>
      </c>
      <c r="N104" s="34" t="s">
        <v>157</v>
      </c>
      <c r="O104" s="34" t="s">
        <v>158</v>
      </c>
      <c r="P104" s="34" t="s">
        <v>159</v>
      </c>
      <c r="Q104" s="34" t="s">
        <v>160</v>
      </c>
      <c r="R104" s="48" t="s">
        <v>83</v>
      </c>
      <c r="S104" s="48" t="s">
        <v>84</v>
      </c>
      <c r="T104" s="48" t="s">
        <v>85</v>
      </c>
      <c r="U104" s="48" t="s">
        <v>86</v>
      </c>
      <c r="V104" s="48" t="s">
        <v>113</v>
      </c>
      <c r="W104" s="48" t="s">
        <v>131</v>
      </c>
      <c r="X104" s="48" t="s">
        <v>109</v>
      </c>
      <c r="Y104" s="48" t="s">
        <v>110</v>
      </c>
      <c r="Z104" s="48" t="s">
        <v>87</v>
      </c>
      <c r="AA104" s="48" t="s">
        <v>88</v>
      </c>
      <c r="AB104" s="48" t="s">
        <v>89</v>
      </c>
      <c r="AC104" s="48" t="s">
        <v>90</v>
      </c>
      <c r="AD104" s="48" t="s">
        <v>91</v>
      </c>
      <c r="AE104" s="48" t="s">
        <v>92</v>
      </c>
      <c r="AF104" s="48" t="s">
        <v>93</v>
      </c>
    </row>
    <row r="105" spans="1:32">
      <c r="A105" s="49">
        <v>20230401</v>
      </c>
      <c r="B105" s="49">
        <v>20231130</v>
      </c>
      <c r="C105" s="49" t="s">
        <v>94</v>
      </c>
      <c r="D105" s="57" t="s">
        <v>147</v>
      </c>
      <c r="E105" s="49" t="s">
        <v>216</v>
      </c>
      <c r="F105" s="49">
        <v>90</v>
      </c>
      <c r="G105" s="49" t="s">
        <v>107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>
        <v>110501</v>
      </c>
      <c r="U105" s="49" t="s">
        <v>154</v>
      </c>
      <c r="V105" s="49" t="s">
        <v>96</v>
      </c>
      <c r="W105" s="49"/>
      <c r="X105" s="49"/>
      <c r="Y105" s="49"/>
      <c r="Z105" s="50"/>
      <c r="AA105" s="49"/>
      <c r="AB105" s="49"/>
      <c r="AC105" s="49">
        <v>20000000</v>
      </c>
      <c r="AD105" s="49">
        <v>8000000</v>
      </c>
      <c r="AE105" s="49">
        <v>7000000</v>
      </c>
      <c r="AF105" s="49">
        <f>AD105-AE105+AC105</f>
        <v>21000000</v>
      </c>
    </row>
    <row r="106" spans="1:32">
      <c r="A106" s="52">
        <v>20230401</v>
      </c>
      <c r="B106" s="52">
        <v>20231130</v>
      </c>
      <c r="C106" s="52" t="s">
        <v>94</v>
      </c>
      <c r="D106" s="52" t="s">
        <v>146</v>
      </c>
      <c r="E106" s="52" t="s">
        <v>216</v>
      </c>
      <c r="F106" s="52">
        <v>90</v>
      </c>
      <c r="G106" s="52" t="s">
        <v>107</v>
      </c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>
        <v>110501</v>
      </c>
      <c r="U106" s="52" t="s">
        <v>154</v>
      </c>
      <c r="V106" s="52" t="s">
        <v>96</v>
      </c>
      <c r="W106" s="52"/>
      <c r="X106" s="52" t="s">
        <v>132</v>
      </c>
      <c r="Y106" s="52" t="s">
        <v>133</v>
      </c>
      <c r="Z106" s="53"/>
      <c r="AA106" s="52"/>
      <c r="AB106" s="52"/>
      <c r="AC106" s="52">
        <v>30000000</v>
      </c>
      <c r="AD106" s="52">
        <v>7000000</v>
      </c>
      <c r="AE106" s="52">
        <v>6000000</v>
      </c>
      <c r="AF106" s="52">
        <f t="shared" ref="AF106" si="18">AD106-AE106+AC106</f>
        <v>31000000</v>
      </c>
    </row>
    <row r="107" spans="1:32">
      <c r="A107" s="49">
        <v>20230401</v>
      </c>
      <c r="B107" s="49">
        <v>20231130</v>
      </c>
      <c r="C107" s="49" t="s">
        <v>94</v>
      </c>
      <c r="D107" s="49" t="s">
        <v>146</v>
      </c>
      <c r="E107" s="49" t="s">
        <v>216</v>
      </c>
      <c r="F107" s="49">
        <v>90</v>
      </c>
      <c r="G107" s="49" t="s">
        <v>107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>
        <v>110901</v>
      </c>
      <c r="U107" s="49" t="s">
        <v>95</v>
      </c>
      <c r="V107" s="49" t="s">
        <v>97</v>
      </c>
      <c r="W107" s="49" t="s">
        <v>98</v>
      </c>
      <c r="X107" s="49"/>
      <c r="Y107" s="49"/>
      <c r="Z107" s="50"/>
      <c r="AA107" s="49"/>
      <c r="AB107" s="49"/>
      <c r="AC107" s="49">
        <v>20000000</v>
      </c>
      <c r="AD107" s="49">
        <v>8000000</v>
      </c>
      <c r="AE107" s="49">
        <v>7000000</v>
      </c>
      <c r="AF107" s="49">
        <f>AD107-AE107+AC107</f>
        <v>21000000</v>
      </c>
    </row>
    <row r="108" spans="1:32">
      <c r="A108" s="52">
        <v>20230401</v>
      </c>
      <c r="B108" s="52">
        <v>20231130</v>
      </c>
      <c r="C108" s="52" t="s">
        <v>94</v>
      </c>
      <c r="D108" s="52" t="s">
        <v>146</v>
      </c>
      <c r="E108" s="52" t="s">
        <v>216</v>
      </c>
      <c r="F108" s="52">
        <v>90</v>
      </c>
      <c r="G108" s="52" t="s">
        <v>107</v>
      </c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>
        <v>110901</v>
      </c>
      <c r="U108" s="52" t="s">
        <v>95</v>
      </c>
      <c r="V108" s="52" t="s">
        <v>97</v>
      </c>
      <c r="W108" s="52" t="s">
        <v>98</v>
      </c>
      <c r="X108" s="52" t="s">
        <v>132</v>
      </c>
      <c r="Y108" s="52" t="s">
        <v>133</v>
      </c>
      <c r="Z108" s="53"/>
      <c r="AA108" s="52"/>
      <c r="AB108" s="52"/>
      <c r="AC108" s="52">
        <v>30000000</v>
      </c>
      <c r="AD108" s="52">
        <v>7000000</v>
      </c>
      <c r="AE108" s="52">
        <v>6000000</v>
      </c>
      <c r="AF108" s="52">
        <f t="shared" ref="AF108" si="19">AD108-AE108+AC108</f>
        <v>31000000</v>
      </c>
    </row>
    <row r="109" spans="1:32">
      <c r="A109" s="49">
        <v>20230401</v>
      </c>
      <c r="B109" s="49">
        <v>20231130</v>
      </c>
      <c r="C109" s="49" t="s">
        <v>94</v>
      </c>
      <c r="D109" s="49" t="s">
        <v>146</v>
      </c>
      <c r="E109" s="49" t="s">
        <v>216</v>
      </c>
      <c r="F109" s="49">
        <v>90</v>
      </c>
      <c r="G109" s="49" t="s">
        <v>107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>
        <v>110901</v>
      </c>
      <c r="U109" s="49" t="s">
        <v>95</v>
      </c>
      <c r="V109" s="49" t="s">
        <v>97</v>
      </c>
      <c r="W109" s="49" t="s">
        <v>98</v>
      </c>
      <c r="X109" s="49" t="s">
        <v>132</v>
      </c>
      <c r="Y109" s="49" t="s">
        <v>133</v>
      </c>
      <c r="Z109" s="50" t="s">
        <v>99</v>
      </c>
      <c r="AA109" s="49" t="s">
        <v>100</v>
      </c>
      <c r="AB109" s="49"/>
      <c r="AC109" s="49">
        <v>40000000</v>
      </c>
      <c r="AD109" s="49"/>
      <c r="AE109" s="49">
        <v>40000000</v>
      </c>
      <c r="AF109" s="49"/>
    </row>
    <row r="110" spans="1:32">
      <c r="A110" s="52">
        <v>20230401</v>
      </c>
      <c r="B110" s="52">
        <v>20231130</v>
      </c>
      <c r="C110" s="52" t="s">
        <v>94</v>
      </c>
      <c r="D110" s="52" t="s">
        <v>146</v>
      </c>
      <c r="E110" s="52" t="s">
        <v>216</v>
      </c>
      <c r="F110" s="52">
        <v>90</v>
      </c>
      <c r="G110" s="52" t="s">
        <v>107</v>
      </c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>
        <v>110901</v>
      </c>
      <c r="U110" s="52" t="s">
        <v>95</v>
      </c>
      <c r="V110" s="52" t="s">
        <v>97</v>
      </c>
      <c r="W110" s="52" t="s">
        <v>98</v>
      </c>
      <c r="X110" s="53">
        <v>300089008</v>
      </c>
      <c r="Y110" s="52" t="s">
        <v>153</v>
      </c>
      <c r="Z110" s="53"/>
      <c r="AA110" s="52"/>
      <c r="AB110" s="52"/>
      <c r="AC110" s="52">
        <v>30000000</v>
      </c>
      <c r="AD110" s="52">
        <v>7000000</v>
      </c>
      <c r="AE110" s="52">
        <v>6000000</v>
      </c>
      <c r="AF110" s="52">
        <f t="shared" ref="AF110:AF114" si="20">AD110-AE110+AC110</f>
        <v>31000000</v>
      </c>
    </row>
    <row r="111" spans="1:32">
      <c r="A111" s="49">
        <v>20230401</v>
      </c>
      <c r="B111" s="49">
        <v>20231130</v>
      </c>
      <c r="C111" s="49" t="s">
        <v>94</v>
      </c>
      <c r="D111" s="49" t="s">
        <v>146</v>
      </c>
      <c r="E111" s="49" t="s">
        <v>216</v>
      </c>
      <c r="F111" s="49">
        <v>90</v>
      </c>
      <c r="G111" s="49" t="s">
        <v>107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>
        <v>110901</v>
      </c>
      <c r="U111" s="49" t="s">
        <v>95</v>
      </c>
      <c r="V111" s="49" t="s">
        <v>97</v>
      </c>
      <c r="W111" s="49" t="s">
        <v>98</v>
      </c>
      <c r="X111" s="50">
        <v>300089008</v>
      </c>
      <c r="Y111" s="49" t="s">
        <v>153</v>
      </c>
      <c r="Z111" s="50" t="s">
        <v>99</v>
      </c>
      <c r="AA111" s="49" t="s">
        <v>100</v>
      </c>
      <c r="AB111" s="49"/>
      <c r="AC111" s="49">
        <v>1000000</v>
      </c>
      <c r="AD111" s="49">
        <v>2000000</v>
      </c>
      <c r="AE111" s="49">
        <v>4000000</v>
      </c>
      <c r="AF111" s="49">
        <f t="shared" si="20"/>
        <v>-1000000</v>
      </c>
    </row>
    <row r="112" spans="1:32">
      <c r="A112" s="52">
        <v>20230401</v>
      </c>
      <c r="B112" s="52">
        <v>20231130</v>
      </c>
      <c r="C112" s="52" t="s">
        <v>94</v>
      </c>
      <c r="D112" s="52" t="s">
        <v>146</v>
      </c>
      <c r="E112" s="52" t="s">
        <v>216</v>
      </c>
      <c r="F112" s="52">
        <v>90</v>
      </c>
      <c r="G112" s="52" t="s">
        <v>107</v>
      </c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>
        <v>110902</v>
      </c>
      <c r="U112" s="52" t="s">
        <v>101</v>
      </c>
      <c r="V112" s="52" t="s">
        <v>97</v>
      </c>
      <c r="W112" s="52" t="s">
        <v>98</v>
      </c>
      <c r="X112" s="52"/>
      <c r="Y112" s="52"/>
      <c r="Z112" s="53"/>
      <c r="AA112" s="52"/>
      <c r="AB112" s="52"/>
      <c r="AC112" s="52">
        <v>60000000</v>
      </c>
      <c r="AD112" s="52">
        <v>4000000</v>
      </c>
      <c r="AE112" s="52">
        <v>3000000</v>
      </c>
      <c r="AF112" s="52">
        <f t="shared" si="20"/>
        <v>61000000</v>
      </c>
    </row>
    <row r="113" spans="1:32">
      <c r="A113" s="49">
        <v>20230401</v>
      </c>
      <c r="B113" s="49">
        <v>20231130</v>
      </c>
      <c r="C113" s="49" t="s">
        <v>94</v>
      </c>
      <c r="D113" s="49" t="s">
        <v>146</v>
      </c>
      <c r="E113" s="49" t="s">
        <v>216</v>
      </c>
      <c r="F113" s="49">
        <v>90</v>
      </c>
      <c r="G113" s="49" t="s">
        <v>107</v>
      </c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>
        <v>110902</v>
      </c>
      <c r="U113" s="49" t="s">
        <v>101</v>
      </c>
      <c r="V113" s="49" t="s">
        <v>97</v>
      </c>
      <c r="W113" s="49" t="s">
        <v>98</v>
      </c>
      <c r="X113" s="49" t="s">
        <v>132</v>
      </c>
      <c r="Y113" s="49" t="s">
        <v>133</v>
      </c>
      <c r="Z113" s="50"/>
      <c r="AA113" s="49"/>
      <c r="AB113" s="49"/>
      <c r="AC113" s="49">
        <v>70000000</v>
      </c>
      <c r="AD113" s="49">
        <v>3000000</v>
      </c>
      <c r="AE113" s="49">
        <v>2000000</v>
      </c>
      <c r="AF113" s="49">
        <f t="shared" si="20"/>
        <v>71000000</v>
      </c>
    </row>
    <row r="114" spans="1:32">
      <c r="A114" s="52">
        <v>20230401</v>
      </c>
      <c r="B114" s="52">
        <v>20231130</v>
      </c>
      <c r="C114" s="52" t="s">
        <v>94</v>
      </c>
      <c r="D114" s="52" t="s">
        <v>146</v>
      </c>
      <c r="E114" s="52" t="s">
        <v>216</v>
      </c>
      <c r="F114" s="52">
        <v>90</v>
      </c>
      <c r="G114" s="52" t="s">
        <v>107</v>
      </c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>
        <v>110902</v>
      </c>
      <c r="U114" s="52" t="s">
        <v>101</v>
      </c>
      <c r="V114" s="52" t="s">
        <v>97</v>
      </c>
      <c r="W114" s="52" t="s">
        <v>98</v>
      </c>
      <c r="X114" s="52" t="s">
        <v>132</v>
      </c>
      <c r="Y114" s="52" t="s">
        <v>133</v>
      </c>
      <c r="Z114" s="53">
        <v>10002</v>
      </c>
      <c r="AA114" s="52" t="s">
        <v>103</v>
      </c>
      <c r="AB114" s="52"/>
      <c r="AC114" s="52">
        <v>80000000</v>
      </c>
      <c r="AD114" s="52">
        <v>2000000</v>
      </c>
      <c r="AE114" s="52">
        <v>8000000</v>
      </c>
      <c r="AF114" s="52">
        <f t="shared" si="20"/>
        <v>74000000</v>
      </c>
    </row>
    <row r="115" spans="1:32">
      <c r="A115" s="49">
        <v>20230401</v>
      </c>
      <c r="B115" s="49">
        <v>20231130</v>
      </c>
      <c r="C115" s="49" t="s">
        <v>94</v>
      </c>
      <c r="D115" s="49" t="s">
        <v>169</v>
      </c>
      <c r="E115" s="49" t="s">
        <v>170</v>
      </c>
      <c r="F115" s="49">
        <v>90</v>
      </c>
      <c r="G115" s="49" t="s">
        <v>107</v>
      </c>
      <c r="H115" s="49"/>
      <c r="I115" s="49"/>
      <c r="J115" s="49"/>
      <c r="K115" s="49"/>
      <c r="L115" s="49" t="s">
        <v>164</v>
      </c>
      <c r="M115" s="49" t="s">
        <v>165</v>
      </c>
      <c r="N115" s="49"/>
      <c r="O115" s="49"/>
      <c r="P115" s="49"/>
      <c r="Q115" s="49"/>
      <c r="R115" s="49"/>
      <c r="S115" s="49"/>
      <c r="T115" s="49">
        <v>110501</v>
      </c>
      <c r="U115" s="49" t="s">
        <v>154</v>
      </c>
      <c r="V115" s="49" t="s">
        <v>96</v>
      </c>
      <c r="W115" s="49"/>
      <c r="X115" s="49"/>
      <c r="Y115" s="49"/>
      <c r="Z115" s="50"/>
      <c r="AA115" s="49"/>
      <c r="AB115" s="49"/>
      <c r="AC115" s="49">
        <v>20000000</v>
      </c>
      <c r="AD115" s="49">
        <v>8000000</v>
      </c>
      <c r="AE115" s="49">
        <v>7000000</v>
      </c>
      <c r="AF115" s="49">
        <f>AD115-AE115+AC115</f>
        <v>21000000</v>
      </c>
    </row>
    <row r="116" spans="1:32">
      <c r="A116" s="52">
        <v>20230401</v>
      </c>
      <c r="B116" s="52">
        <v>20231130</v>
      </c>
      <c r="C116" s="52" t="s">
        <v>94</v>
      </c>
      <c r="D116" s="52" t="s">
        <v>169</v>
      </c>
      <c r="E116" s="52" t="s">
        <v>170</v>
      </c>
      <c r="F116" s="52">
        <v>90</v>
      </c>
      <c r="G116" s="52" t="s">
        <v>107</v>
      </c>
      <c r="H116" s="52"/>
      <c r="I116" s="52"/>
      <c r="J116" s="52"/>
      <c r="K116" s="52"/>
      <c r="L116" s="52" t="s">
        <v>164</v>
      </c>
      <c r="M116" s="52" t="s">
        <v>165</v>
      </c>
      <c r="N116" s="52"/>
      <c r="O116" s="52"/>
      <c r="P116" s="52"/>
      <c r="Q116" s="52"/>
      <c r="R116" s="52"/>
      <c r="S116" s="52"/>
      <c r="T116" s="52">
        <v>110501</v>
      </c>
      <c r="U116" s="52" t="s">
        <v>154</v>
      </c>
      <c r="V116" s="52" t="s">
        <v>96</v>
      </c>
      <c r="W116" s="52"/>
      <c r="X116" s="52" t="s">
        <v>132</v>
      </c>
      <c r="Y116" s="52" t="s">
        <v>133</v>
      </c>
      <c r="Z116" s="53"/>
      <c r="AA116" s="52"/>
      <c r="AB116" s="52"/>
      <c r="AC116" s="52">
        <v>30000000</v>
      </c>
      <c r="AD116" s="52">
        <v>7000000</v>
      </c>
      <c r="AE116" s="52">
        <v>6000000</v>
      </c>
      <c r="AF116" s="52">
        <f t="shared" ref="AF116:AF118" si="21">AD116-AE116+AC116</f>
        <v>31000000</v>
      </c>
    </row>
    <row r="117" spans="1:32">
      <c r="A117" s="49">
        <v>20230401</v>
      </c>
      <c r="B117" s="49">
        <v>20231130</v>
      </c>
      <c r="C117" s="49" t="s">
        <v>94</v>
      </c>
      <c r="D117" s="49" t="s">
        <v>169</v>
      </c>
      <c r="E117" s="49" t="s">
        <v>170</v>
      </c>
      <c r="F117" s="49">
        <v>90</v>
      </c>
      <c r="G117" s="49" t="s">
        <v>107</v>
      </c>
      <c r="H117" s="49"/>
      <c r="I117" s="49"/>
      <c r="J117" s="49"/>
      <c r="K117" s="49"/>
      <c r="L117" s="49" t="s">
        <v>164</v>
      </c>
      <c r="M117" s="49" t="s">
        <v>165</v>
      </c>
      <c r="N117" s="49"/>
      <c r="O117" s="49"/>
      <c r="P117" s="49"/>
      <c r="Q117" s="49"/>
      <c r="R117" s="49"/>
      <c r="S117" s="49"/>
      <c r="T117" s="49">
        <v>110901</v>
      </c>
      <c r="U117" s="49" t="s">
        <v>95</v>
      </c>
      <c r="V117" s="49" t="s">
        <v>97</v>
      </c>
      <c r="W117" s="49" t="s">
        <v>98</v>
      </c>
      <c r="X117" s="49"/>
      <c r="Y117" s="49"/>
      <c r="Z117" s="50"/>
      <c r="AA117" s="49"/>
      <c r="AB117" s="49"/>
      <c r="AC117" s="49">
        <v>20000000</v>
      </c>
      <c r="AD117" s="49">
        <v>8000000</v>
      </c>
      <c r="AE117" s="49">
        <v>7000000</v>
      </c>
      <c r="AF117" s="49">
        <f t="shared" si="21"/>
        <v>21000000</v>
      </c>
    </row>
    <row r="118" spans="1:32">
      <c r="A118" s="52">
        <v>20230401</v>
      </c>
      <c r="B118" s="52">
        <v>20231130</v>
      </c>
      <c r="C118" s="52" t="s">
        <v>94</v>
      </c>
      <c r="D118" s="52" t="s">
        <v>169</v>
      </c>
      <c r="E118" s="52" t="s">
        <v>170</v>
      </c>
      <c r="F118" s="52">
        <v>90</v>
      </c>
      <c r="G118" s="52" t="s">
        <v>107</v>
      </c>
      <c r="H118" s="52"/>
      <c r="I118" s="52"/>
      <c r="J118" s="52"/>
      <c r="K118" s="52"/>
      <c r="L118" s="52" t="s">
        <v>164</v>
      </c>
      <c r="M118" s="52" t="s">
        <v>165</v>
      </c>
      <c r="N118" s="52"/>
      <c r="O118" s="52"/>
      <c r="P118" s="52"/>
      <c r="Q118" s="52"/>
      <c r="R118" s="52"/>
      <c r="S118" s="52"/>
      <c r="T118" s="52">
        <v>110901</v>
      </c>
      <c r="U118" s="52" t="s">
        <v>95</v>
      </c>
      <c r="V118" s="52" t="s">
        <v>97</v>
      </c>
      <c r="W118" s="52" t="s">
        <v>98</v>
      </c>
      <c r="X118" s="52" t="s">
        <v>132</v>
      </c>
      <c r="Y118" s="52" t="s">
        <v>133</v>
      </c>
      <c r="Z118" s="53"/>
      <c r="AA118" s="52"/>
      <c r="AB118" s="52"/>
      <c r="AC118" s="52">
        <v>30000000</v>
      </c>
      <c r="AD118" s="52">
        <v>7000000</v>
      </c>
      <c r="AE118" s="52">
        <v>6000000</v>
      </c>
      <c r="AF118" s="52">
        <f t="shared" si="21"/>
        <v>31000000</v>
      </c>
    </row>
    <row r="119" spans="1:32">
      <c r="A119" s="49">
        <v>20230401</v>
      </c>
      <c r="B119" s="49">
        <v>20231130</v>
      </c>
      <c r="C119" s="49" t="s">
        <v>94</v>
      </c>
      <c r="D119" s="49" t="s">
        <v>169</v>
      </c>
      <c r="E119" s="49" t="s">
        <v>170</v>
      </c>
      <c r="F119" s="49">
        <v>90</v>
      </c>
      <c r="G119" s="49" t="s">
        <v>107</v>
      </c>
      <c r="H119" s="49"/>
      <c r="I119" s="49"/>
      <c r="J119" s="49"/>
      <c r="K119" s="49"/>
      <c r="L119" s="49" t="s">
        <v>164</v>
      </c>
      <c r="M119" s="49" t="s">
        <v>165</v>
      </c>
      <c r="N119" s="49"/>
      <c r="O119" s="49"/>
      <c r="P119" s="49"/>
      <c r="Q119" s="49"/>
      <c r="R119" s="49"/>
      <c r="S119" s="49"/>
      <c r="T119" s="49">
        <v>110901</v>
      </c>
      <c r="U119" s="49" t="s">
        <v>95</v>
      </c>
      <c r="V119" s="49" t="s">
        <v>97</v>
      </c>
      <c r="W119" s="49" t="s">
        <v>98</v>
      </c>
      <c r="X119" s="49" t="s">
        <v>132</v>
      </c>
      <c r="Y119" s="49" t="s">
        <v>133</v>
      </c>
      <c r="Z119" s="50" t="s">
        <v>99</v>
      </c>
      <c r="AA119" s="49" t="s">
        <v>100</v>
      </c>
      <c r="AB119" s="49"/>
      <c r="AC119" s="49">
        <v>40000000</v>
      </c>
      <c r="AD119" s="49"/>
      <c r="AE119" s="49">
        <v>40000000</v>
      </c>
      <c r="AF119" s="49"/>
    </row>
    <row r="120" spans="1:32">
      <c r="A120" s="52">
        <v>20230401</v>
      </c>
      <c r="B120" s="52">
        <v>20231130</v>
      </c>
      <c r="C120" s="52" t="s">
        <v>94</v>
      </c>
      <c r="D120" s="52" t="s">
        <v>169</v>
      </c>
      <c r="E120" s="52" t="s">
        <v>170</v>
      </c>
      <c r="F120" s="52">
        <v>90</v>
      </c>
      <c r="G120" s="52" t="s">
        <v>107</v>
      </c>
      <c r="H120" s="52"/>
      <c r="I120" s="52"/>
      <c r="J120" s="52"/>
      <c r="K120" s="52"/>
      <c r="L120" s="52" t="s">
        <v>164</v>
      </c>
      <c r="M120" s="52" t="s">
        <v>165</v>
      </c>
      <c r="N120" s="52"/>
      <c r="O120" s="52"/>
      <c r="P120" s="52"/>
      <c r="Q120" s="52"/>
      <c r="R120" s="52"/>
      <c r="S120" s="52"/>
      <c r="T120" s="52">
        <v>110901</v>
      </c>
      <c r="U120" s="52" t="s">
        <v>95</v>
      </c>
      <c r="V120" s="52" t="s">
        <v>97</v>
      </c>
      <c r="W120" s="52" t="s">
        <v>98</v>
      </c>
      <c r="X120" s="53">
        <v>300089008</v>
      </c>
      <c r="Y120" s="52" t="s">
        <v>153</v>
      </c>
      <c r="Z120" s="53"/>
      <c r="AA120" s="52"/>
      <c r="AB120" s="52"/>
      <c r="AC120" s="52">
        <v>30000000</v>
      </c>
      <c r="AD120" s="52">
        <v>7000000</v>
      </c>
      <c r="AE120" s="52">
        <v>6000000</v>
      </c>
      <c r="AF120" s="52">
        <f t="shared" ref="AF120:AF124" si="22">AD120-AE120+AC120</f>
        <v>31000000</v>
      </c>
    </row>
    <row r="121" spans="1:32">
      <c r="A121" s="49">
        <v>20230401</v>
      </c>
      <c r="B121" s="49">
        <v>20231130</v>
      </c>
      <c r="C121" s="49" t="s">
        <v>94</v>
      </c>
      <c r="D121" s="49" t="s">
        <v>169</v>
      </c>
      <c r="E121" s="49" t="s">
        <v>170</v>
      </c>
      <c r="F121" s="49">
        <v>90</v>
      </c>
      <c r="G121" s="49" t="s">
        <v>107</v>
      </c>
      <c r="H121" s="49"/>
      <c r="I121" s="49"/>
      <c r="J121" s="49"/>
      <c r="K121" s="49"/>
      <c r="L121" s="49" t="s">
        <v>164</v>
      </c>
      <c r="M121" s="49" t="s">
        <v>165</v>
      </c>
      <c r="N121" s="49"/>
      <c r="O121" s="49"/>
      <c r="P121" s="49"/>
      <c r="Q121" s="49"/>
      <c r="R121" s="49"/>
      <c r="S121" s="49"/>
      <c r="T121" s="49">
        <v>110901</v>
      </c>
      <c r="U121" s="49" t="s">
        <v>95</v>
      </c>
      <c r="V121" s="49" t="s">
        <v>97</v>
      </c>
      <c r="W121" s="49" t="s">
        <v>98</v>
      </c>
      <c r="X121" s="50">
        <v>300089008</v>
      </c>
      <c r="Y121" s="49" t="s">
        <v>153</v>
      </c>
      <c r="Z121" s="50" t="s">
        <v>99</v>
      </c>
      <c r="AA121" s="49" t="s">
        <v>100</v>
      </c>
      <c r="AB121" s="49"/>
      <c r="AC121" s="49">
        <v>1000000</v>
      </c>
      <c r="AD121" s="49">
        <v>2000000</v>
      </c>
      <c r="AE121" s="49">
        <v>4000000</v>
      </c>
      <c r="AF121" s="49">
        <f t="shared" si="22"/>
        <v>-1000000</v>
      </c>
    </row>
    <row r="122" spans="1:32">
      <c r="A122" s="52">
        <v>20230401</v>
      </c>
      <c r="B122" s="52">
        <v>20231130</v>
      </c>
      <c r="C122" s="52" t="s">
        <v>94</v>
      </c>
      <c r="D122" s="52" t="s">
        <v>169</v>
      </c>
      <c r="E122" s="52" t="s">
        <v>170</v>
      </c>
      <c r="F122" s="52">
        <v>90</v>
      </c>
      <c r="G122" s="52" t="s">
        <v>107</v>
      </c>
      <c r="H122" s="52"/>
      <c r="I122" s="52"/>
      <c r="J122" s="52"/>
      <c r="K122" s="52"/>
      <c r="L122" s="52" t="s">
        <v>164</v>
      </c>
      <c r="M122" s="52" t="s">
        <v>165</v>
      </c>
      <c r="N122" s="52"/>
      <c r="O122" s="52"/>
      <c r="P122" s="52"/>
      <c r="Q122" s="52"/>
      <c r="R122" s="52"/>
      <c r="S122" s="52"/>
      <c r="T122" s="52">
        <v>110902</v>
      </c>
      <c r="U122" s="52" t="s">
        <v>101</v>
      </c>
      <c r="V122" s="52" t="s">
        <v>97</v>
      </c>
      <c r="W122" s="52" t="s">
        <v>98</v>
      </c>
      <c r="X122" s="52"/>
      <c r="Y122" s="52"/>
      <c r="Z122" s="53"/>
      <c r="AA122" s="52"/>
      <c r="AB122" s="52"/>
      <c r="AC122" s="52">
        <v>60000000</v>
      </c>
      <c r="AD122" s="52">
        <v>4000000</v>
      </c>
      <c r="AE122" s="52">
        <v>3000000</v>
      </c>
      <c r="AF122" s="52">
        <f t="shared" si="22"/>
        <v>61000000</v>
      </c>
    </row>
    <row r="123" spans="1:32">
      <c r="A123" s="49">
        <v>20230401</v>
      </c>
      <c r="B123" s="49">
        <v>20231130</v>
      </c>
      <c r="C123" s="49" t="s">
        <v>94</v>
      </c>
      <c r="D123" s="49" t="s">
        <v>169</v>
      </c>
      <c r="E123" s="49" t="s">
        <v>170</v>
      </c>
      <c r="F123" s="49">
        <v>90</v>
      </c>
      <c r="G123" s="49" t="s">
        <v>107</v>
      </c>
      <c r="H123" s="49"/>
      <c r="I123" s="49"/>
      <c r="J123" s="49"/>
      <c r="K123" s="49"/>
      <c r="L123" s="49" t="s">
        <v>164</v>
      </c>
      <c r="M123" s="49" t="s">
        <v>165</v>
      </c>
      <c r="N123" s="49"/>
      <c r="O123" s="49"/>
      <c r="P123" s="49"/>
      <c r="Q123" s="49"/>
      <c r="R123" s="49"/>
      <c r="S123" s="49"/>
      <c r="T123" s="49">
        <v>110902</v>
      </c>
      <c r="U123" s="49" t="s">
        <v>101</v>
      </c>
      <c r="V123" s="49" t="s">
        <v>97</v>
      </c>
      <c r="W123" s="49" t="s">
        <v>98</v>
      </c>
      <c r="X123" s="49" t="s">
        <v>132</v>
      </c>
      <c r="Y123" s="49" t="s">
        <v>133</v>
      </c>
      <c r="Z123" s="50"/>
      <c r="AA123" s="49"/>
      <c r="AB123" s="49"/>
      <c r="AC123" s="49">
        <v>70000000</v>
      </c>
      <c r="AD123" s="49">
        <v>3000000</v>
      </c>
      <c r="AE123" s="49">
        <v>2000000</v>
      </c>
      <c r="AF123" s="49">
        <f t="shared" si="22"/>
        <v>71000000</v>
      </c>
    </row>
    <row r="124" spans="1:32">
      <c r="A124" s="52">
        <v>20230401</v>
      </c>
      <c r="B124" s="52">
        <v>20231130</v>
      </c>
      <c r="C124" s="52" t="s">
        <v>94</v>
      </c>
      <c r="D124" s="52" t="s">
        <v>169</v>
      </c>
      <c r="E124" s="52" t="s">
        <v>170</v>
      </c>
      <c r="F124" s="52">
        <v>90</v>
      </c>
      <c r="G124" s="52" t="s">
        <v>107</v>
      </c>
      <c r="H124" s="52"/>
      <c r="I124" s="52"/>
      <c r="J124" s="52"/>
      <c r="K124" s="52"/>
      <c r="L124" s="52" t="s">
        <v>164</v>
      </c>
      <c r="M124" s="52" t="s">
        <v>165</v>
      </c>
      <c r="N124" s="52"/>
      <c r="O124" s="52"/>
      <c r="P124" s="52"/>
      <c r="Q124" s="52"/>
      <c r="R124" s="52"/>
      <c r="S124" s="52"/>
      <c r="T124" s="52">
        <v>110902</v>
      </c>
      <c r="U124" s="52" t="s">
        <v>101</v>
      </c>
      <c r="V124" s="52" t="s">
        <v>97</v>
      </c>
      <c r="W124" s="52" t="s">
        <v>98</v>
      </c>
      <c r="X124" s="52" t="s">
        <v>132</v>
      </c>
      <c r="Y124" s="52" t="s">
        <v>133</v>
      </c>
      <c r="Z124" s="53">
        <v>10002</v>
      </c>
      <c r="AA124" s="52" t="s">
        <v>103</v>
      </c>
      <c r="AB124" s="52"/>
      <c r="AC124" s="52">
        <v>80000000</v>
      </c>
      <c r="AD124" s="52">
        <v>2000000</v>
      </c>
      <c r="AE124" s="52">
        <v>7000000</v>
      </c>
      <c r="AF124" s="52">
        <f t="shared" si="22"/>
        <v>75000000</v>
      </c>
    </row>
    <row r="125" spans="1:32">
      <c r="A125" s="49">
        <v>20230401</v>
      </c>
      <c r="B125" s="49">
        <v>20231130</v>
      </c>
      <c r="C125" s="49" t="s">
        <v>94</v>
      </c>
      <c r="D125" s="49" t="s">
        <v>168</v>
      </c>
      <c r="E125" s="49" t="s">
        <v>250</v>
      </c>
      <c r="F125" s="49">
        <v>90</v>
      </c>
      <c r="G125" s="49" t="s">
        <v>107</v>
      </c>
      <c r="H125" s="49"/>
      <c r="I125" s="49"/>
      <c r="J125" s="49"/>
      <c r="K125" s="49"/>
      <c r="L125" s="49" t="s">
        <v>164</v>
      </c>
      <c r="M125" s="49" t="s">
        <v>165</v>
      </c>
      <c r="N125" s="49" t="s">
        <v>166</v>
      </c>
      <c r="O125" s="49" t="s">
        <v>167</v>
      </c>
      <c r="P125" s="49"/>
      <c r="Q125" s="49"/>
      <c r="R125" s="49"/>
      <c r="S125" s="49"/>
      <c r="T125" s="49">
        <v>110501</v>
      </c>
      <c r="U125" s="49" t="s">
        <v>154</v>
      </c>
      <c r="V125" s="49" t="s">
        <v>96</v>
      </c>
      <c r="W125" s="49"/>
      <c r="X125" s="49"/>
      <c r="Y125" s="49"/>
      <c r="Z125" s="50"/>
      <c r="AA125" s="49"/>
      <c r="AB125" s="49"/>
      <c r="AC125" s="49">
        <v>5000000</v>
      </c>
      <c r="AD125" s="49">
        <v>2000000</v>
      </c>
      <c r="AE125" s="49">
        <v>1750000</v>
      </c>
      <c r="AF125" s="49">
        <f>AD125-AE125+AC125</f>
        <v>5250000</v>
      </c>
    </row>
    <row r="126" spans="1:32">
      <c r="A126" s="52">
        <v>20230401</v>
      </c>
      <c r="B126" s="52">
        <v>20231130</v>
      </c>
      <c r="C126" s="52" t="s">
        <v>94</v>
      </c>
      <c r="D126" s="52" t="s">
        <v>168</v>
      </c>
      <c r="E126" s="52" t="s">
        <v>250</v>
      </c>
      <c r="F126" s="52">
        <v>90</v>
      </c>
      <c r="G126" s="52" t="s">
        <v>107</v>
      </c>
      <c r="H126" s="52"/>
      <c r="I126" s="52"/>
      <c r="J126" s="52"/>
      <c r="K126" s="52"/>
      <c r="L126" s="52" t="s">
        <v>164</v>
      </c>
      <c r="M126" s="52" t="s">
        <v>165</v>
      </c>
      <c r="N126" s="52" t="s">
        <v>166</v>
      </c>
      <c r="O126" s="52" t="s">
        <v>167</v>
      </c>
      <c r="P126" s="52"/>
      <c r="Q126" s="52"/>
      <c r="R126" s="52"/>
      <c r="S126" s="52"/>
      <c r="T126" s="52">
        <v>110501</v>
      </c>
      <c r="U126" s="52" t="s">
        <v>154</v>
      </c>
      <c r="V126" s="52" t="s">
        <v>96</v>
      </c>
      <c r="W126" s="52"/>
      <c r="X126" s="52" t="s">
        <v>132</v>
      </c>
      <c r="Y126" s="52" t="s">
        <v>133</v>
      </c>
      <c r="Z126" s="53"/>
      <c r="AA126" s="52"/>
      <c r="AB126" s="52"/>
      <c r="AC126" s="52">
        <v>7500000</v>
      </c>
      <c r="AD126" s="52">
        <v>1750000</v>
      </c>
      <c r="AE126" s="52">
        <v>1500000</v>
      </c>
      <c r="AF126" s="52">
        <f t="shared" ref="AF126:AF128" si="23">AD126-AE126+AC126</f>
        <v>7750000</v>
      </c>
    </row>
    <row r="127" spans="1:32">
      <c r="A127" s="49">
        <v>20230401</v>
      </c>
      <c r="B127" s="49">
        <v>20231130</v>
      </c>
      <c r="C127" s="49" t="s">
        <v>94</v>
      </c>
      <c r="D127" s="49" t="s">
        <v>168</v>
      </c>
      <c r="E127" s="49" t="s">
        <v>250</v>
      </c>
      <c r="F127" s="49">
        <v>90</v>
      </c>
      <c r="G127" s="49" t="s">
        <v>107</v>
      </c>
      <c r="H127" s="49"/>
      <c r="I127" s="49"/>
      <c r="J127" s="49"/>
      <c r="K127" s="49"/>
      <c r="L127" s="49" t="s">
        <v>164</v>
      </c>
      <c r="M127" s="49" t="s">
        <v>165</v>
      </c>
      <c r="N127" s="49" t="s">
        <v>166</v>
      </c>
      <c r="O127" s="49" t="s">
        <v>167</v>
      </c>
      <c r="P127" s="49"/>
      <c r="Q127" s="49"/>
      <c r="R127" s="49"/>
      <c r="S127" s="49"/>
      <c r="T127" s="49">
        <v>110901</v>
      </c>
      <c r="U127" s="49" t="s">
        <v>95</v>
      </c>
      <c r="V127" s="49" t="s">
        <v>97</v>
      </c>
      <c r="W127" s="49" t="s">
        <v>98</v>
      </c>
      <c r="X127" s="49"/>
      <c r="Y127" s="49"/>
      <c r="Z127" s="50"/>
      <c r="AA127" s="49"/>
      <c r="AB127" s="49"/>
      <c r="AC127" s="49">
        <v>5000000</v>
      </c>
      <c r="AD127" s="49">
        <v>2000000</v>
      </c>
      <c r="AE127" s="49">
        <v>1750000</v>
      </c>
      <c r="AF127" s="49">
        <f t="shared" si="23"/>
        <v>5250000</v>
      </c>
    </row>
    <row r="128" spans="1:32">
      <c r="A128" s="52">
        <v>20230401</v>
      </c>
      <c r="B128" s="52">
        <v>20231130</v>
      </c>
      <c r="C128" s="52" t="s">
        <v>94</v>
      </c>
      <c r="D128" s="52" t="s">
        <v>168</v>
      </c>
      <c r="E128" s="52" t="s">
        <v>250</v>
      </c>
      <c r="F128" s="52">
        <v>90</v>
      </c>
      <c r="G128" s="52" t="s">
        <v>107</v>
      </c>
      <c r="H128" s="52"/>
      <c r="I128" s="52"/>
      <c r="J128" s="52"/>
      <c r="K128" s="52"/>
      <c r="L128" s="52" t="s">
        <v>164</v>
      </c>
      <c r="M128" s="52" t="s">
        <v>165</v>
      </c>
      <c r="N128" s="52" t="s">
        <v>166</v>
      </c>
      <c r="O128" s="52" t="s">
        <v>167</v>
      </c>
      <c r="P128" s="52"/>
      <c r="Q128" s="52"/>
      <c r="R128" s="52"/>
      <c r="S128" s="52"/>
      <c r="T128" s="52">
        <v>110901</v>
      </c>
      <c r="U128" s="52" t="s">
        <v>95</v>
      </c>
      <c r="V128" s="52" t="s">
        <v>97</v>
      </c>
      <c r="W128" s="52" t="s">
        <v>98</v>
      </c>
      <c r="X128" s="52" t="s">
        <v>132</v>
      </c>
      <c r="Y128" s="52" t="s">
        <v>133</v>
      </c>
      <c r="Z128" s="53"/>
      <c r="AA128" s="52"/>
      <c r="AB128" s="52"/>
      <c r="AC128" s="52">
        <v>7500000</v>
      </c>
      <c r="AD128" s="52">
        <v>1750000</v>
      </c>
      <c r="AE128" s="52">
        <v>1500000</v>
      </c>
      <c r="AF128" s="52">
        <f t="shared" si="23"/>
        <v>7750000</v>
      </c>
    </row>
    <row r="129" spans="1:32">
      <c r="A129" s="49">
        <v>20230401</v>
      </c>
      <c r="B129" s="49">
        <v>20231130</v>
      </c>
      <c r="C129" s="49" t="s">
        <v>94</v>
      </c>
      <c r="D129" s="49" t="s">
        <v>168</v>
      </c>
      <c r="E129" s="49" t="s">
        <v>250</v>
      </c>
      <c r="F129" s="49">
        <v>90</v>
      </c>
      <c r="G129" s="49" t="s">
        <v>107</v>
      </c>
      <c r="H129" s="49"/>
      <c r="I129" s="49"/>
      <c r="J129" s="49"/>
      <c r="K129" s="49"/>
      <c r="L129" s="49" t="s">
        <v>164</v>
      </c>
      <c r="M129" s="49" t="s">
        <v>165</v>
      </c>
      <c r="N129" s="49" t="s">
        <v>166</v>
      </c>
      <c r="O129" s="49" t="s">
        <v>167</v>
      </c>
      <c r="P129" s="49"/>
      <c r="Q129" s="49"/>
      <c r="R129" s="49"/>
      <c r="S129" s="49"/>
      <c r="T129" s="49">
        <v>110901</v>
      </c>
      <c r="U129" s="49" t="s">
        <v>95</v>
      </c>
      <c r="V129" s="49" t="s">
        <v>97</v>
      </c>
      <c r="W129" s="49" t="s">
        <v>98</v>
      </c>
      <c r="X129" s="49" t="s">
        <v>132</v>
      </c>
      <c r="Y129" s="49" t="s">
        <v>133</v>
      </c>
      <c r="Z129" s="50" t="s">
        <v>99</v>
      </c>
      <c r="AA129" s="49" t="s">
        <v>100</v>
      </c>
      <c r="AB129" s="49"/>
      <c r="AC129" s="49">
        <v>10000000</v>
      </c>
      <c r="AD129" s="49"/>
      <c r="AE129" s="49">
        <v>10000000</v>
      </c>
      <c r="AF129" s="49"/>
    </row>
    <row r="130" spans="1:32">
      <c r="A130" s="52">
        <v>20230401</v>
      </c>
      <c r="B130" s="52">
        <v>20231130</v>
      </c>
      <c r="C130" s="52" t="s">
        <v>94</v>
      </c>
      <c r="D130" s="52" t="s">
        <v>168</v>
      </c>
      <c r="E130" s="52" t="s">
        <v>250</v>
      </c>
      <c r="F130" s="52">
        <v>90</v>
      </c>
      <c r="G130" s="52" t="s">
        <v>107</v>
      </c>
      <c r="H130" s="52"/>
      <c r="I130" s="52"/>
      <c r="J130" s="52"/>
      <c r="K130" s="52"/>
      <c r="L130" s="52" t="s">
        <v>164</v>
      </c>
      <c r="M130" s="52" t="s">
        <v>165</v>
      </c>
      <c r="N130" s="52" t="s">
        <v>166</v>
      </c>
      <c r="O130" s="52" t="s">
        <v>167</v>
      </c>
      <c r="P130" s="52"/>
      <c r="Q130" s="52"/>
      <c r="R130" s="52"/>
      <c r="S130" s="52"/>
      <c r="T130" s="52">
        <v>110901</v>
      </c>
      <c r="U130" s="52" t="s">
        <v>95</v>
      </c>
      <c r="V130" s="52" t="s">
        <v>97</v>
      </c>
      <c r="W130" s="52" t="s">
        <v>98</v>
      </c>
      <c r="X130" s="53">
        <v>300089008</v>
      </c>
      <c r="Y130" s="52" t="s">
        <v>153</v>
      </c>
      <c r="Z130" s="53"/>
      <c r="AA130" s="52"/>
      <c r="AB130" s="52"/>
      <c r="AC130" s="52">
        <v>7500000</v>
      </c>
      <c r="AD130" s="52">
        <v>1750000</v>
      </c>
      <c r="AE130" s="52">
        <v>1500000</v>
      </c>
      <c r="AF130" s="52">
        <f t="shared" ref="AF130:AF134" si="24">AD130-AE130+AC130</f>
        <v>7750000</v>
      </c>
    </row>
    <row r="131" spans="1:32">
      <c r="A131" s="49">
        <v>20230401</v>
      </c>
      <c r="B131" s="49">
        <v>20231130</v>
      </c>
      <c r="C131" s="49" t="s">
        <v>94</v>
      </c>
      <c r="D131" s="49" t="s">
        <v>168</v>
      </c>
      <c r="E131" s="49" t="s">
        <v>250</v>
      </c>
      <c r="F131" s="49">
        <v>90</v>
      </c>
      <c r="G131" s="49" t="s">
        <v>107</v>
      </c>
      <c r="H131" s="49"/>
      <c r="I131" s="49"/>
      <c r="J131" s="49"/>
      <c r="K131" s="49"/>
      <c r="L131" s="49" t="s">
        <v>164</v>
      </c>
      <c r="M131" s="49" t="s">
        <v>165</v>
      </c>
      <c r="N131" s="49" t="s">
        <v>166</v>
      </c>
      <c r="O131" s="49" t="s">
        <v>167</v>
      </c>
      <c r="P131" s="49"/>
      <c r="Q131" s="49"/>
      <c r="R131" s="49"/>
      <c r="S131" s="49"/>
      <c r="T131" s="49">
        <v>110901</v>
      </c>
      <c r="U131" s="49" t="s">
        <v>95</v>
      </c>
      <c r="V131" s="49" t="s">
        <v>97</v>
      </c>
      <c r="W131" s="49" t="s">
        <v>98</v>
      </c>
      <c r="X131" s="50">
        <v>300089008</v>
      </c>
      <c r="Y131" s="49" t="s">
        <v>153</v>
      </c>
      <c r="Z131" s="50" t="s">
        <v>99</v>
      </c>
      <c r="AA131" s="49" t="s">
        <v>100</v>
      </c>
      <c r="AB131" s="49"/>
      <c r="AC131" s="49">
        <v>250000</v>
      </c>
      <c r="AD131" s="49">
        <v>500000</v>
      </c>
      <c r="AE131" s="49">
        <v>1000000</v>
      </c>
      <c r="AF131" s="49">
        <f t="shared" si="24"/>
        <v>-250000</v>
      </c>
    </row>
    <row r="132" spans="1:32">
      <c r="A132" s="52">
        <v>20230401</v>
      </c>
      <c r="B132" s="52">
        <v>20231130</v>
      </c>
      <c r="C132" s="52" t="s">
        <v>94</v>
      </c>
      <c r="D132" s="52" t="s">
        <v>168</v>
      </c>
      <c r="E132" s="52" t="s">
        <v>250</v>
      </c>
      <c r="F132" s="52">
        <v>90</v>
      </c>
      <c r="G132" s="52" t="s">
        <v>107</v>
      </c>
      <c r="H132" s="52"/>
      <c r="I132" s="52"/>
      <c r="J132" s="52"/>
      <c r="K132" s="52"/>
      <c r="L132" s="52" t="s">
        <v>164</v>
      </c>
      <c r="M132" s="52" t="s">
        <v>165</v>
      </c>
      <c r="N132" s="52" t="s">
        <v>166</v>
      </c>
      <c r="O132" s="52" t="s">
        <v>167</v>
      </c>
      <c r="P132" s="52"/>
      <c r="Q132" s="52"/>
      <c r="R132" s="52"/>
      <c r="S132" s="52"/>
      <c r="T132" s="52">
        <v>110902</v>
      </c>
      <c r="U132" s="52" t="s">
        <v>101</v>
      </c>
      <c r="V132" s="52" t="s">
        <v>97</v>
      </c>
      <c r="W132" s="52" t="s">
        <v>98</v>
      </c>
      <c r="X132" s="52"/>
      <c r="Y132" s="52"/>
      <c r="Z132" s="53"/>
      <c r="AA132" s="52"/>
      <c r="AB132" s="52"/>
      <c r="AC132" s="52">
        <v>15000000</v>
      </c>
      <c r="AD132" s="52">
        <v>1000000</v>
      </c>
      <c r="AE132" s="52">
        <v>750000</v>
      </c>
      <c r="AF132" s="52">
        <f t="shared" si="24"/>
        <v>15250000</v>
      </c>
    </row>
    <row r="133" spans="1:32">
      <c r="A133" s="49">
        <v>20230401</v>
      </c>
      <c r="B133" s="49">
        <v>20231130</v>
      </c>
      <c r="C133" s="49" t="s">
        <v>94</v>
      </c>
      <c r="D133" s="49" t="s">
        <v>168</v>
      </c>
      <c r="E133" s="49" t="s">
        <v>250</v>
      </c>
      <c r="F133" s="49">
        <v>90</v>
      </c>
      <c r="G133" s="49" t="s">
        <v>107</v>
      </c>
      <c r="H133" s="49"/>
      <c r="I133" s="49"/>
      <c r="J133" s="49"/>
      <c r="K133" s="49"/>
      <c r="L133" s="49" t="s">
        <v>164</v>
      </c>
      <c r="M133" s="49" t="s">
        <v>165</v>
      </c>
      <c r="N133" s="49" t="s">
        <v>166</v>
      </c>
      <c r="O133" s="49" t="s">
        <v>167</v>
      </c>
      <c r="P133" s="49"/>
      <c r="Q133" s="49"/>
      <c r="R133" s="49"/>
      <c r="S133" s="49"/>
      <c r="T133" s="49">
        <v>110902</v>
      </c>
      <c r="U133" s="49" t="s">
        <v>101</v>
      </c>
      <c r="V133" s="49" t="s">
        <v>97</v>
      </c>
      <c r="W133" s="49" t="s">
        <v>98</v>
      </c>
      <c r="X133" s="49" t="s">
        <v>132</v>
      </c>
      <c r="Y133" s="49" t="s">
        <v>133</v>
      </c>
      <c r="Z133" s="50"/>
      <c r="AA133" s="49"/>
      <c r="AB133" s="49"/>
      <c r="AC133" s="49">
        <v>17500000</v>
      </c>
      <c r="AD133" s="49">
        <v>750000</v>
      </c>
      <c r="AE133" s="49">
        <v>500000</v>
      </c>
      <c r="AF133" s="49">
        <f t="shared" si="24"/>
        <v>17750000</v>
      </c>
    </row>
    <row r="134" spans="1:32">
      <c r="A134" s="52">
        <v>20230401</v>
      </c>
      <c r="B134" s="52">
        <v>20231130</v>
      </c>
      <c r="C134" s="52" t="s">
        <v>94</v>
      </c>
      <c r="D134" s="52" t="s">
        <v>168</v>
      </c>
      <c r="E134" s="52" t="s">
        <v>250</v>
      </c>
      <c r="F134" s="52">
        <v>90</v>
      </c>
      <c r="G134" s="52" t="s">
        <v>107</v>
      </c>
      <c r="H134" s="52"/>
      <c r="I134" s="52"/>
      <c r="J134" s="52"/>
      <c r="K134" s="52"/>
      <c r="L134" s="52" t="s">
        <v>164</v>
      </c>
      <c r="M134" s="52" t="s">
        <v>165</v>
      </c>
      <c r="N134" s="52" t="s">
        <v>166</v>
      </c>
      <c r="O134" s="52" t="s">
        <v>167</v>
      </c>
      <c r="P134" s="52"/>
      <c r="Q134" s="52"/>
      <c r="R134" s="52"/>
      <c r="S134" s="52"/>
      <c r="T134" s="52">
        <v>110902</v>
      </c>
      <c r="U134" s="52" t="s">
        <v>101</v>
      </c>
      <c r="V134" s="52" t="s">
        <v>97</v>
      </c>
      <c r="W134" s="52" t="s">
        <v>98</v>
      </c>
      <c r="X134" s="52" t="s">
        <v>132</v>
      </c>
      <c r="Y134" s="52" t="s">
        <v>133</v>
      </c>
      <c r="Z134" s="53">
        <v>10002</v>
      </c>
      <c r="AA134" s="52" t="s">
        <v>103</v>
      </c>
      <c r="AB134" s="52"/>
      <c r="AC134" s="52">
        <v>20000000</v>
      </c>
      <c r="AD134" s="52">
        <v>500000</v>
      </c>
      <c r="AE134" s="52">
        <v>1750000</v>
      </c>
      <c r="AF134" s="52">
        <f t="shared" si="24"/>
        <v>18750000</v>
      </c>
    </row>
    <row r="135" spans="1:32" s="51" customFormat="1">
      <c r="A135" s="49">
        <v>20230401</v>
      </c>
      <c r="B135" s="49">
        <v>20231130</v>
      </c>
      <c r="C135" s="49" t="s">
        <v>94</v>
      </c>
      <c r="D135" s="49" t="s">
        <v>168</v>
      </c>
      <c r="E135" s="49" t="s">
        <v>250</v>
      </c>
      <c r="F135" s="49">
        <v>90</v>
      </c>
      <c r="G135" s="49" t="s">
        <v>107</v>
      </c>
      <c r="H135" s="49"/>
      <c r="I135" s="49"/>
      <c r="J135" s="49"/>
      <c r="K135" s="49"/>
      <c r="L135" s="49" t="s">
        <v>164</v>
      </c>
      <c r="M135" s="49" t="s">
        <v>165</v>
      </c>
      <c r="N135" s="49"/>
      <c r="O135" s="49"/>
      <c r="P135" s="49"/>
      <c r="Q135" s="49"/>
      <c r="R135" s="49"/>
      <c r="S135" s="49"/>
      <c r="T135" s="49">
        <v>110501</v>
      </c>
      <c r="U135" s="49" t="s">
        <v>154</v>
      </c>
      <c r="V135" s="49" t="s">
        <v>96</v>
      </c>
      <c r="W135" s="49"/>
      <c r="X135" s="49"/>
      <c r="Y135" s="49"/>
      <c r="Z135" s="50"/>
      <c r="AA135" s="49"/>
      <c r="AB135" s="49"/>
      <c r="AC135" s="49">
        <f>AC165+AC175+AC185</f>
        <v>15000000</v>
      </c>
      <c r="AD135" s="49">
        <f t="shared" ref="AD135:AE135" si="25">AD165+AD175+AD185</f>
        <v>6000000</v>
      </c>
      <c r="AE135" s="49">
        <f t="shared" si="25"/>
        <v>5250000</v>
      </c>
      <c r="AF135" s="49">
        <f>AD135-AE135+AC135</f>
        <v>15750000</v>
      </c>
    </row>
    <row r="136" spans="1:32" s="51" customFormat="1">
      <c r="A136" s="52">
        <v>20230401</v>
      </c>
      <c r="B136" s="52">
        <v>20231130</v>
      </c>
      <c r="C136" s="52" t="s">
        <v>94</v>
      </c>
      <c r="D136" s="52" t="s">
        <v>168</v>
      </c>
      <c r="E136" s="52" t="s">
        <v>250</v>
      </c>
      <c r="F136" s="52">
        <v>90</v>
      </c>
      <c r="G136" s="52" t="s">
        <v>107</v>
      </c>
      <c r="H136" s="52"/>
      <c r="I136" s="52"/>
      <c r="J136" s="52"/>
      <c r="K136" s="52"/>
      <c r="L136" s="52" t="s">
        <v>164</v>
      </c>
      <c r="M136" s="52" t="s">
        <v>165</v>
      </c>
      <c r="N136" s="52"/>
      <c r="O136" s="52"/>
      <c r="P136" s="52"/>
      <c r="Q136" s="52"/>
      <c r="R136" s="52"/>
      <c r="S136" s="52"/>
      <c r="T136" s="52">
        <v>110501</v>
      </c>
      <c r="U136" s="52" t="s">
        <v>154</v>
      </c>
      <c r="V136" s="52" t="s">
        <v>96</v>
      </c>
      <c r="W136" s="52"/>
      <c r="X136" s="52" t="s">
        <v>132</v>
      </c>
      <c r="Y136" s="52" t="s">
        <v>133</v>
      </c>
      <c r="Z136" s="53"/>
      <c r="AA136" s="52"/>
      <c r="AB136" s="52"/>
      <c r="AC136" s="52">
        <f t="shared" ref="AC136:AE136" si="26">AC166+AC176+AC186</f>
        <v>22500000</v>
      </c>
      <c r="AD136" s="52">
        <f t="shared" si="26"/>
        <v>5250000</v>
      </c>
      <c r="AE136" s="52">
        <f t="shared" si="26"/>
        <v>4500000</v>
      </c>
      <c r="AF136" s="52">
        <f t="shared" ref="AF136:AF138" si="27">AD136-AE136+AC136</f>
        <v>23250000</v>
      </c>
    </row>
    <row r="137" spans="1:32" s="51" customFormat="1">
      <c r="A137" s="49">
        <v>20230401</v>
      </c>
      <c r="B137" s="49">
        <v>20231130</v>
      </c>
      <c r="C137" s="49" t="s">
        <v>94</v>
      </c>
      <c r="D137" s="49" t="s">
        <v>168</v>
      </c>
      <c r="E137" s="49" t="s">
        <v>250</v>
      </c>
      <c r="F137" s="49">
        <v>90</v>
      </c>
      <c r="G137" s="49" t="s">
        <v>107</v>
      </c>
      <c r="H137" s="49"/>
      <c r="I137" s="49"/>
      <c r="J137" s="49"/>
      <c r="K137" s="49"/>
      <c r="L137" s="49" t="s">
        <v>164</v>
      </c>
      <c r="M137" s="49" t="s">
        <v>165</v>
      </c>
      <c r="N137" s="49"/>
      <c r="O137" s="49"/>
      <c r="P137" s="49"/>
      <c r="Q137" s="49"/>
      <c r="R137" s="49"/>
      <c r="S137" s="49"/>
      <c r="T137" s="49">
        <v>110901</v>
      </c>
      <c r="U137" s="49" t="s">
        <v>95</v>
      </c>
      <c r="V137" s="49" t="s">
        <v>97</v>
      </c>
      <c r="W137" s="49" t="s">
        <v>98</v>
      </c>
      <c r="X137" s="49"/>
      <c r="Y137" s="49"/>
      <c r="Z137" s="50"/>
      <c r="AA137" s="49"/>
      <c r="AB137" s="49"/>
      <c r="AC137" s="49">
        <f t="shared" ref="AC137:AE137" si="28">AC167+AC177+AC187</f>
        <v>15000000</v>
      </c>
      <c r="AD137" s="49">
        <f t="shared" si="28"/>
        <v>6000000</v>
      </c>
      <c r="AE137" s="49">
        <f t="shared" si="28"/>
        <v>5250000</v>
      </c>
      <c r="AF137" s="49">
        <f t="shared" si="27"/>
        <v>15750000</v>
      </c>
    </row>
    <row r="138" spans="1:32" s="51" customFormat="1">
      <c r="A138" s="52">
        <v>20230401</v>
      </c>
      <c r="B138" s="52">
        <v>20231130</v>
      </c>
      <c r="C138" s="52" t="s">
        <v>94</v>
      </c>
      <c r="D138" s="52" t="s">
        <v>168</v>
      </c>
      <c r="E138" s="52" t="s">
        <v>250</v>
      </c>
      <c r="F138" s="52">
        <v>90</v>
      </c>
      <c r="G138" s="52" t="s">
        <v>107</v>
      </c>
      <c r="H138" s="52"/>
      <c r="I138" s="52"/>
      <c r="J138" s="52"/>
      <c r="K138" s="52"/>
      <c r="L138" s="52" t="s">
        <v>164</v>
      </c>
      <c r="M138" s="52" t="s">
        <v>165</v>
      </c>
      <c r="N138" s="52"/>
      <c r="O138" s="52"/>
      <c r="P138" s="52"/>
      <c r="Q138" s="52"/>
      <c r="R138" s="52"/>
      <c r="S138" s="52"/>
      <c r="T138" s="52">
        <v>110901</v>
      </c>
      <c r="U138" s="52" t="s">
        <v>95</v>
      </c>
      <c r="V138" s="52" t="s">
        <v>97</v>
      </c>
      <c r="W138" s="52" t="s">
        <v>98</v>
      </c>
      <c r="X138" s="52" t="s">
        <v>132</v>
      </c>
      <c r="Y138" s="52" t="s">
        <v>133</v>
      </c>
      <c r="Z138" s="53"/>
      <c r="AA138" s="52"/>
      <c r="AB138" s="52"/>
      <c r="AC138" s="52">
        <f t="shared" ref="AC138:AE138" si="29">AC168+AC178+AC188</f>
        <v>22500000</v>
      </c>
      <c r="AD138" s="52">
        <f t="shared" si="29"/>
        <v>5250000</v>
      </c>
      <c r="AE138" s="52">
        <f t="shared" si="29"/>
        <v>4500000</v>
      </c>
      <c r="AF138" s="52">
        <f t="shared" si="27"/>
        <v>23250000</v>
      </c>
    </row>
    <row r="139" spans="1:32" s="51" customFormat="1">
      <c r="A139" s="49">
        <v>20230401</v>
      </c>
      <c r="B139" s="49">
        <v>20231130</v>
      </c>
      <c r="C139" s="49" t="s">
        <v>94</v>
      </c>
      <c r="D139" s="49" t="s">
        <v>168</v>
      </c>
      <c r="E139" s="49" t="s">
        <v>250</v>
      </c>
      <c r="F139" s="49">
        <v>90</v>
      </c>
      <c r="G139" s="49" t="s">
        <v>107</v>
      </c>
      <c r="H139" s="49"/>
      <c r="I139" s="49"/>
      <c r="J139" s="49"/>
      <c r="K139" s="49"/>
      <c r="L139" s="49" t="s">
        <v>164</v>
      </c>
      <c r="M139" s="49" t="s">
        <v>165</v>
      </c>
      <c r="N139" s="49"/>
      <c r="O139" s="49"/>
      <c r="P139" s="49"/>
      <c r="Q139" s="49"/>
      <c r="R139" s="49"/>
      <c r="S139" s="49"/>
      <c r="T139" s="49">
        <v>110901</v>
      </c>
      <c r="U139" s="49" t="s">
        <v>95</v>
      </c>
      <c r="V139" s="49" t="s">
        <v>97</v>
      </c>
      <c r="W139" s="49" t="s">
        <v>98</v>
      </c>
      <c r="X139" s="49" t="s">
        <v>132</v>
      </c>
      <c r="Y139" s="49" t="s">
        <v>133</v>
      </c>
      <c r="Z139" s="50" t="s">
        <v>99</v>
      </c>
      <c r="AA139" s="49" t="s">
        <v>100</v>
      </c>
      <c r="AB139" s="49"/>
      <c r="AC139" s="49">
        <f t="shared" ref="AC139:AE139" si="30">AC169+AC179+AC189</f>
        <v>30000000</v>
      </c>
      <c r="AD139" s="49">
        <f t="shared" si="30"/>
        <v>0</v>
      </c>
      <c r="AE139" s="49">
        <f t="shared" si="30"/>
        <v>30000000</v>
      </c>
      <c r="AF139" s="49"/>
    </row>
    <row r="140" spans="1:32" s="51" customFormat="1">
      <c r="A140" s="52">
        <v>20230401</v>
      </c>
      <c r="B140" s="52">
        <v>20231130</v>
      </c>
      <c r="C140" s="52" t="s">
        <v>94</v>
      </c>
      <c r="D140" s="52" t="s">
        <v>168</v>
      </c>
      <c r="E140" s="52" t="s">
        <v>250</v>
      </c>
      <c r="F140" s="52">
        <v>90</v>
      </c>
      <c r="G140" s="52" t="s">
        <v>107</v>
      </c>
      <c r="H140" s="52"/>
      <c r="I140" s="52"/>
      <c r="J140" s="52"/>
      <c r="K140" s="52"/>
      <c r="L140" s="52" t="s">
        <v>164</v>
      </c>
      <c r="M140" s="52" t="s">
        <v>165</v>
      </c>
      <c r="N140" s="52"/>
      <c r="O140" s="52"/>
      <c r="P140" s="52"/>
      <c r="Q140" s="52"/>
      <c r="R140" s="52"/>
      <c r="S140" s="52"/>
      <c r="T140" s="52">
        <v>110901</v>
      </c>
      <c r="U140" s="52" t="s">
        <v>95</v>
      </c>
      <c r="V140" s="52" t="s">
        <v>97</v>
      </c>
      <c r="W140" s="52" t="s">
        <v>98</v>
      </c>
      <c r="X140" s="53">
        <v>300089008</v>
      </c>
      <c r="Y140" s="52" t="s">
        <v>153</v>
      </c>
      <c r="Z140" s="53"/>
      <c r="AA140" s="52"/>
      <c r="AB140" s="52"/>
      <c r="AC140" s="52">
        <f t="shared" ref="AC140:AE140" si="31">AC170+AC180+AC190</f>
        <v>22500000</v>
      </c>
      <c r="AD140" s="52">
        <f t="shared" si="31"/>
        <v>5250000</v>
      </c>
      <c r="AE140" s="52">
        <f t="shared" si="31"/>
        <v>4500000</v>
      </c>
      <c r="AF140" s="52">
        <f t="shared" ref="AF140:AF144" si="32">AD140-AE140+AC140</f>
        <v>23250000</v>
      </c>
    </row>
    <row r="141" spans="1:32" s="51" customFormat="1">
      <c r="A141" s="49">
        <v>20230401</v>
      </c>
      <c r="B141" s="49">
        <v>20231130</v>
      </c>
      <c r="C141" s="49" t="s">
        <v>94</v>
      </c>
      <c r="D141" s="49" t="s">
        <v>168</v>
      </c>
      <c r="E141" s="49" t="s">
        <v>250</v>
      </c>
      <c r="F141" s="49">
        <v>90</v>
      </c>
      <c r="G141" s="49" t="s">
        <v>107</v>
      </c>
      <c r="H141" s="49"/>
      <c r="I141" s="49"/>
      <c r="J141" s="49"/>
      <c r="K141" s="49"/>
      <c r="L141" s="49" t="s">
        <v>164</v>
      </c>
      <c r="M141" s="49" t="s">
        <v>165</v>
      </c>
      <c r="N141" s="49"/>
      <c r="O141" s="49"/>
      <c r="P141" s="49"/>
      <c r="Q141" s="49"/>
      <c r="R141" s="49"/>
      <c r="S141" s="49"/>
      <c r="T141" s="49">
        <v>110901</v>
      </c>
      <c r="U141" s="49" t="s">
        <v>95</v>
      </c>
      <c r="V141" s="49" t="s">
        <v>97</v>
      </c>
      <c r="W141" s="49" t="s">
        <v>98</v>
      </c>
      <c r="X141" s="50">
        <v>300089008</v>
      </c>
      <c r="Y141" s="49" t="s">
        <v>153</v>
      </c>
      <c r="Z141" s="50" t="s">
        <v>99</v>
      </c>
      <c r="AA141" s="49" t="s">
        <v>100</v>
      </c>
      <c r="AB141" s="49"/>
      <c r="AC141" s="49">
        <f t="shared" ref="AC141:AE141" si="33">AC171+AC181+AC191</f>
        <v>750000</v>
      </c>
      <c r="AD141" s="49">
        <f t="shared" si="33"/>
        <v>1500000</v>
      </c>
      <c r="AE141" s="49">
        <f t="shared" si="33"/>
        <v>3000000</v>
      </c>
      <c r="AF141" s="49">
        <f t="shared" si="32"/>
        <v>-750000</v>
      </c>
    </row>
    <row r="142" spans="1:32" s="51" customFormat="1">
      <c r="A142" s="52">
        <v>20230401</v>
      </c>
      <c r="B142" s="52">
        <v>20231130</v>
      </c>
      <c r="C142" s="52" t="s">
        <v>94</v>
      </c>
      <c r="D142" s="52" t="s">
        <v>168</v>
      </c>
      <c r="E142" s="52" t="s">
        <v>250</v>
      </c>
      <c r="F142" s="52">
        <v>90</v>
      </c>
      <c r="G142" s="52" t="s">
        <v>107</v>
      </c>
      <c r="H142" s="52"/>
      <c r="I142" s="52"/>
      <c r="J142" s="52"/>
      <c r="K142" s="52"/>
      <c r="L142" s="52" t="s">
        <v>164</v>
      </c>
      <c r="M142" s="52" t="s">
        <v>165</v>
      </c>
      <c r="N142" s="52"/>
      <c r="O142" s="52"/>
      <c r="P142" s="52"/>
      <c r="Q142" s="52"/>
      <c r="R142" s="52"/>
      <c r="S142" s="52"/>
      <c r="T142" s="52">
        <v>110902</v>
      </c>
      <c r="U142" s="52" t="s">
        <v>101</v>
      </c>
      <c r="V142" s="52" t="s">
        <v>97</v>
      </c>
      <c r="W142" s="52" t="s">
        <v>98</v>
      </c>
      <c r="X142" s="52"/>
      <c r="Y142" s="52"/>
      <c r="Z142" s="53"/>
      <c r="AA142" s="52"/>
      <c r="AB142" s="52"/>
      <c r="AC142" s="52">
        <f t="shared" ref="AC142:AE142" si="34">AC172+AC182+AC192</f>
        <v>45000000</v>
      </c>
      <c r="AD142" s="52">
        <f t="shared" si="34"/>
        <v>3000000</v>
      </c>
      <c r="AE142" s="52">
        <f t="shared" si="34"/>
        <v>2250000</v>
      </c>
      <c r="AF142" s="52">
        <f t="shared" si="32"/>
        <v>45750000</v>
      </c>
    </row>
    <row r="143" spans="1:32" s="51" customFormat="1">
      <c r="A143" s="49">
        <v>20230401</v>
      </c>
      <c r="B143" s="49">
        <v>20231130</v>
      </c>
      <c r="C143" s="49" t="s">
        <v>94</v>
      </c>
      <c r="D143" s="49" t="s">
        <v>168</v>
      </c>
      <c r="E143" s="49" t="s">
        <v>250</v>
      </c>
      <c r="F143" s="49">
        <v>90</v>
      </c>
      <c r="G143" s="49" t="s">
        <v>107</v>
      </c>
      <c r="H143" s="49"/>
      <c r="I143" s="49"/>
      <c r="J143" s="49"/>
      <c r="K143" s="49"/>
      <c r="L143" s="49" t="s">
        <v>164</v>
      </c>
      <c r="M143" s="49" t="s">
        <v>165</v>
      </c>
      <c r="N143" s="49"/>
      <c r="O143" s="49"/>
      <c r="P143" s="49"/>
      <c r="Q143" s="49"/>
      <c r="R143" s="49"/>
      <c r="S143" s="49"/>
      <c r="T143" s="49">
        <v>110902</v>
      </c>
      <c r="U143" s="49" t="s">
        <v>101</v>
      </c>
      <c r="V143" s="49" t="s">
        <v>97</v>
      </c>
      <c r="W143" s="49" t="s">
        <v>98</v>
      </c>
      <c r="X143" s="49" t="s">
        <v>132</v>
      </c>
      <c r="Y143" s="49" t="s">
        <v>133</v>
      </c>
      <c r="Z143" s="50"/>
      <c r="AA143" s="49"/>
      <c r="AB143" s="49"/>
      <c r="AC143" s="49">
        <f t="shared" ref="AC143:AE143" si="35">AC173+AC183+AC193</f>
        <v>52500000</v>
      </c>
      <c r="AD143" s="49">
        <f t="shared" si="35"/>
        <v>2250000</v>
      </c>
      <c r="AE143" s="49">
        <f t="shared" si="35"/>
        <v>1500000</v>
      </c>
      <c r="AF143" s="49">
        <f t="shared" si="32"/>
        <v>53250000</v>
      </c>
    </row>
    <row r="144" spans="1:32" s="51" customFormat="1">
      <c r="A144" s="52">
        <v>20230401</v>
      </c>
      <c r="B144" s="52">
        <v>20231130</v>
      </c>
      <c r="C144" s="52" t="s">
        <v>94</v>
      </c>
      <c r="D144" s="52" t="s">
        <v>168</v>
      </c>
      <c r="E144" s="52" t="s">
        <v>250</v>
      </c>
      <c r="F144" s="52">
        <v>90</v>
      </c>
      <c r="G144" s="52" t="s">
        <v>107</v>
      </c>
      <c r="H144" s="52"/>
      <c r="I144" s="52"/>
      <c r="J144" s="52"/>
      <c r="K144" s="52"/>
      <c r="L144" s="52" t="s">
        <v>164</v>
      </c>
      <c r="M144" s="52" t="s">
        <v>165</v>
      </c>
      <c r="N144" s="52"/>
      <c r="O144" s="52"/>
      <c r="P144" s="52"/>
      <c r="Q144" s="52"/>
      <c r="R144" s="52"/>
      <c r="S144" s="52"/>
      <c r="T144" s="52">
        <v>110902</v>
      </c>
      <c r="U144" s="52" t="s">
        <v>101</v>
      </c>
      <c r="V144" s="52" t="s">
        <v>97</v>
      </c>
      <c r="W144" s="52" t="s">
        <v>98</v>
      </c>
      <c r="X144" s="52" t="s">
        <v>132</v>
      </c>
      <c r="Y144" s="52" t="s">
        <v>133</v>
      </c>
      <c r="Z144" s="53">
        <v>10002</v>
      </c>
      <c r="AA144" s="52" t="s">
        <v>103</v>
      </c>
      <c r="AB144" s="52"/>
      <c r="AC144" s="52">
        <f t="shared" ref="AC144:AD144" si="36">AC174+AC184+AC194</f>
        <v>60000000</v>
      </c>
      <c r="AD144" s="52">
        <f t="shared" si="36"/>
        <v>1500000</v>
      </c>
      <c r="AE144" s="52">
        <f>AE174+AE184+AE194</f>
        <v>5250000</v>
      </c>
      <c r="AF144" s="52">
        <f t="shared" si="32"/>
        <v>56250000</v>
      </c>
    </row>
    <row r="145" spans="1:32">
      <c r="A145" s="49">
        <v>20230401</v>
      </c>
      <c r="B145" s="49">
        <v>20231130</v>
      </c>
      <c r="C145" s="49" t="s">
        <v>94</v>
      </c>
      <c r="D145" s="49" t="s">
        <v>178</v>
      </c>
      <c r="E145" s="49" t="s">
        <v>248</v>
      </c>
      <c r="F145" s="49">
        <v>90</v>
      </c>
      <c r="G145" s="49" t="s">
        <v>107</v>
      </c>
      <c r="H145" s="49"/>
      <c r="I145" s="49"/>
      <c r="J145" s="49"/>
      <c r="K145" s="49"/>
      <c r="L145" s="49" t="s">
        <v>164</v>
      </c>
      <c r="M145" s="49" t="s">
        <v>165</v>
      </c>
      <c r="N145" s="49" t="s">
        <v>166</v>
      </c>
      <c r="O145" s="49" t="s">
        <v>167</v>
      </c>
      <c r="P145" s="49" t="s">
        <v>179</v>
      </c>
      <c r="Q145" s="49" t="s">
        <v>180</v>
      </c>
      <c r="R145" s="49" t="s">
        <v>173</v>
      </c>
      <c r="S145" s="49" t="s">
        <v>174</v>
      </c>
      <c r="T145" s="49">
        <v>110501</v>
      </c>
      <c r="U145" s="49" t="s">
        <v>154</v>
      </c>
      <c r="V145" s="49" t="s">
        <v>96</v>
      </c>
      <c r="W145" s="49"/>
      <c r="X145" s="49"/>
      <c r="Y145" s="49"/>
      <c r="Z145" s="50"/>
      <c r="AA145" s="49"/>
      <c r="AB145" s="49"/>
      <c r="AC145" s="49">
        <v>2500000</v>
      </c>
      <c r="AD145" s="49">
        <v>1000000</v>
      </c>
      <c r="AE145" s="49">
        <v>875000</v>
      </c>
      <c r="AF145" s="49">
        <f t="shared" ref="AF145:AF148" si="37">AD145-AE145+AC145</f>
        <v>2625000</v>
      </c>
    </row>
    <row r="146" spans="1:32">
      <c r="A146" s="52">
        <v>20230401</v>
      </c>
      <c r="B146" s="52">
        <v>20231130</v>
      </c>
      <c r="C146" s="52" t="s">
        <v>94</v>
      </c>
      <c r="D146" s="52" t="s">
        <v>178</v>
      </c>
      <c r="E146" s="52" t="s">
        <v>248</v>
      </c>
      <c r="F146" s="52">
        <v>90</v>
      </c>
      <c r="G146" s="52" t="s">
        <v>107</v>
      </c>
      <c r="H146" s="52"/>
      <c r="I146" s="52"/>
      <c r="J146" s="52"/>
      <c r="K146" s="52"/>
      <c r="L146" s="52" t="s">
        <v>164</v>
      </c>
      <c r="M146" s="52" t="s">
        <v>165</v>
      </c>
      <c r="N146" s="52" t="s">
        <v>166</v>
      </c>
      <c r="O146" s="52" t="s">
        <v>167</v>
      </c>
      <c r="P146" s="52" t="s">
        <v>179</v>
      </c>
      <c r="Q146" s="52" t="s">
        <v>180</v>
      </c>
      <c r="R146" s="52" t="s">
        <v>173</v>
      </c>
      <c r="S146" s="52" t="s">
        <v>174</v>
      </c>
      <c r="T146" s="52">
        <v>110501</v>
      </c>
      <c r="U146" s="52" t="s">
        <v>154</v>
      </c>
      <c r="V146" s="52" t="s">
        <v>96</v>
      </c>
      <c r="W146" s="52"/>
      <c r="X146" s="52" t="s">
        <v>132</v>
      </c>
      <c r="Y146" s="52" t="s">
        <v>133</v>
      </c>
      <c r="Z146" s="53"/>
      <c r="AA146" s="52"/>
      <c r="AB146" s="52"/>
      <c r="AC146" s="52">
        <v>3750000</v>
      </c>
      <c r="AD146" s="52">
        <v>875000</v>
      </c>
      <c r="AE146" s="52">
        <v>750000</v>
      </c>
      <c r="AF146" s="52">
        <f t="shared" si="37"/>
        <v>3875000</v>
      </c>
    </row>
    <row r="147" spans="1:32">
      <c r="A147" s="49">
        <v>20230401</v>
      </c>
      <c r="B147" s="49">
        <v>20231130</v>
      </c>
      <c r="C147" s="49" t="s">
        <v>94</v>
      </c>
      <c r="D147" s="49" t="s">
        <v>178</v>
      </c>
      <c r="E147" s="49" t="s">
        <v>248</v>
      </c>
      <c r="F147" s="49">
        <v>90</v>
      </c>
      <c r="G147" s="49" t="s">
        <v>107</v>
      </c>
      <c r="H147" s="49"/>
      <c r="I147" s="49"/>
      <c r="J147" s="49"/>
      <c r="K147" s="49"/>
      <c r="L147" s="49" t="s">
        <v>164</v>
      </c>
      <c r="M147" s="49" t="s">
        <v>165</v>
      </c>
      <c r="N147" s="49" t="s">
        <v>166</v>
      </c>
      <c r="O147" s="49" t="s">
        <v>167</v>
      </c>
      <c r="P147" s="49" t="s">
        <v>179</v>
      </c>
      <c r="Q147" s="49" t="s">
        <v>180</v>
      </c>
      <c r="R147" s="49" t="s">
        <v>173</v>
      </c>
      <c r="S147" s="49" t="s">
        <v>174</v>
      </c>
      <c r="T147" s="49">
        <v>110901</v>
      </c>
      <c r="U147" s="49" t="s">
        <v>95</v>
      </c>
      <c r="V147" s="49" t="s">
        <v>97</v>
      </c>
      <c r="W147" s="49" t="s">
        <v>98</v>
      </c>
      <c r="X147" s="49"/>
      <c r="Y147" s="49"/>
      <c r="Z147" s="50"/>
      <c r="AA147" s="49"/>
      <c r="AB147" s="49"/>
      <c r="AC147" s="49">
        <v>2500000</v>
      </c>
      <c r="AD147" s="49">
        <v>1000000</v>
      </c>
      <c r="AE147" s="49">
        <v>875000</v>
      </c>
      <c r="AF147" s="49">
        <f t="shared" si="37"/>
        <v>2625000</v>
      </c>
    </row>
    <row r="148" spans="1:32">
      <c r="A148" s="52">
        <v>20230401</v>
      </c>
      <c r="B148" s="52">
        <v>20231130</v>
      </c>
      <c r="C148" s="52" t="s">
        <v>94</v>
      </c>
      <c r="D148" s="52" t="s">
        <v>178</v>
      </c>
      <c r="E148" s="52" t="s">
        <v>248</v>
      </c>
      <c r="F148" s="52">
        <v>90</v>
      </c>
      <c r="G148" s="52" t="s">
        <v>107</v>
      </c>
      <c r="H148" s="52"/>
      <c r="I148" s="52"/>
      <c r="J148" s="52"/>
      <c r="K148" s="52"/>
      <c r="L148" s="52" t="s">
        <v>164</v>
      </c>
      <c r="M148" s="52" t="s">
        <v>165</v>
      </c>
      <c r="N148" s="52" t="s">
        <v>166</v>
      </c>
      <c r="O148" s="52" t="s">
        <v>167</v>
      </c>
      <c r="P148" s="52" t="s">
        <v>179</v>
      </c>
      <c r="Q148" s="52" t="s">
        <v>180</v>
      </c>
      <c r="R148" s="52" t="s">
        <v>173</v>
      </c>
      <c r="S148" s="52" t="s">
        <v>174</v>
      </c>
      <c r="T148" s="52">
        <v>110901</v>
      </c>
      <c r="U148" s="52" t="s">
        <v>95</v>
      </c>
      <c r="V148" s="52" t="s">
        <v>97</v>
      </c>
      <c r="W148" s="52" t="s">
        <v>98</v>
      </c>
      <c r="X148" s="52" t="s">
        <v>132</v>
      </c>
      <c r="Y148" s="52" t="s">
        <v>133</v>
      </c>
      <c r="Z148" s="53"/>
      <c r="AA148" s="52"/>
      <c r="AB148" s="52"/>
      <c r="AC148" s="52">
        <v>3750000</v>
      </c>
      <c r="AD148" s="52">
        <v>875000</v>
      </c>
      <c r="AE148" s="52">
        <v>750000</v>
      </c>
      <c r="AF148" s="52">
        <f t="shared" si="37"/>
        <v>3875000</v>
      </c>
    </row>
    <row r="149" spans="1:32">
      <c r="A149" s="49">
        <v>20230401</v>
      </c>
      <c r="B149" s="49">
        <v>20231130</v>
      </c>
      <c r="C149" s="49" t="s">
        <v>94</v>
      </c>
      <c r="D149" s="49" t="s">
        <v>178</v>
      </c>
      <c r="E149" s="49" t="s">
        <v>248</v>
      </c>
      <c r="F149" s="49">
        <v>90</v>
      </c>
      <c r="G149" s="49" t="s">
        <v>107</v>
      </c>
      <c r="H149" s="49"/>
      <c r="I149" s="49"/>
      <c r="J149" s="49"/>
      <c r="K149" s="49"/>
      <c r="L149" s="49" t="s">
        <v>164</v>
      </c>
      <c r="M149" s="49" t="s">
        <v>165</v>
      </c>
      <c r="N149" s="49" t="s">
        <v>166</v>
      </c>
      <c r="O149" s="49" t="s">
        <v>167</v>
      </c>
      <c r="P149" s="49" t="s">
        <v>179</v>
      </c>
      <c r="Q149" s="49" t="s">
        <v>180</v>
      </c>
      <c r="R149" s="49" t="s">
        <v>173</v>
      </c>
      <c r="S149" s="49" t="s">
        <v>174</v>
      </c>
      <c r="T149" s="49">
        <v>110901</v>
      </c>
      <c r="U149" s="49" t="s">
        <v>95</v>
      </c>
      <c r="V149" s="49" t="s">
        <v>97</v>
      </c>
      <c r="W149" s="49" t="s">
        <v>98</v>
      </c>
      <c r="X149" s="49" t="s">
        <v>132</v>
      </c>
      <c r="Y149" s="49" t="s">
        <v>133</v>
      </c>
      <c r="Z149" s="50" t="s">
        <v>99</v>
      </c>
      <c r="AA149" s="49" t="s">
        <v>100</v>
      </c>
      <c r="AB149" s="49"/>
      <c r="AC149" s="49">
        <v>5000000</v>
      </c>
      <c r="AD149" s="49"/>
      <c r="AE149" s="49">
        <v>5000000</v>
      </c>
      <c r="AF149" s="49"/>
    </row>
    <row r="150" spans="1:32">
      <c r="A150" s="52">
        <v>20230401</v>
      </c>
      <c r="B150" s="52">
        <v>20231130</v>
      </c>
      <c r="C150" s="52" t="s">
        <v>94</v>
      </c>
      <c r="D150" s="52" t="s">
        <v>178</v>
      </c>
      <c r="E150" s="52" t="s">
        <v>248</v>
      </c>
      <c r="F150" s="52">
        <v>90</v>
      </c>
      <c r="G150" s="52" t="s">
        <v>107</v>
      </c>
      <c r="H150" s="52"/>
      <c r="I150" s="52"/>
      <c r="J150" s="52"/>
      <c r="K150" s="52"/>
      <c r="L150" s="52" t="s">
        <v>164</v>
      </c>
      <c r="M150" s="52" t="s">
        <v>165</v>
      </c>
      <c r="N150" s="52" t="s">
        <v>166</v>
      </c>
      <c r="O150" s="52" t="s">
        <v>167</v>
      </c>
      <c r="P150" s="52" t="s">
        <v>179</v>
      </c>
      <c r="Q150" s="52" t="s">
        <v>180</v>
      </c>
      <c r="R150" s="52" t="s">
        <v>173</v>
      </c>
      <c r="S150" s="52" t="s">
        <v>174</v>
      </c>
      <c r="T150" s="52">
        <v>110901</v>
      </c>
      <c r="U150" s="52" t="s">
        <v>95</v>
      </c>
      <c r="V150" s="52" t="s">
        <v>97</v>
      </c>
      <c r="W150" s="52" t="s">
        <v>98</v>
      </c>
      <c r="X150" s="53">
        <v>300089008</v>
      </c>
      <c r="Y150" s="52" t="s">
        <v>153</v>
      </c>
      <c r="Z150" s="53"/>
      <c r="AA150" s="52"/>
      <c r="AB150" s="52"/>
      <c r="AC150" s="52">
        <v>3750000</v>
      </c>
      <c r="AD150" s="52">
        <v>875000</v>
      </c>
      <c r="AE150" s="52">
        <v>750000</v>
      </c>
      <c r="AF150" s="52">
        <f t="shared" ref="AF150:AF158" si="38">AD150-AE150+AC150</f>
        <v>3875000</v>
      </c>
    </row>
    <row r="151" spans="1:32">
      <c r="A151" s="49">
        <v>20230401</v>
      </c>
      <c r="B151" s="49">
        <v>20231130</v>
      </c>
      <c r="C151" s="49" t="s">
        <v>94</v>
      </c>
      <c r="D151" s="49" t="s">
        <v>178</v>
      </c>
      <c r="E151" s="49" t="s">
        <v>248</v>
      </c>
      <c r="F151" s="49">
        <v>90</v>
      </c>
      <c r="G151" s="49" t="s">
        <v>107</v>
      </c>
      <c r="H151" s="49"/>
      <c r="I151" s="49"/>
      <c r="J151" s="49"/>
      <c r="K151" s="49"/>
      <c r="L151" s="49" t="s">
        <v>164</v>
      </c>
      <c r="M151" s="49" t="s">
        <v>165</v>
      </c>
      <c r="N151" s="49" t="s">
        <v>166</v>
      </c>
      <c r="O151" s="49" t="s">
        <v>167</v>
      </c>
      <c r="P151" s="49" t="s">
        <v>179</v>
      </c>
      <c r="Q151" s="49" t="s">
        <v>180</v>
      </c>
      <c r="R151" s="49" t="s">
        <v>173</v>
      </c>
      <c r="S151" s="49" t="s">
        <v>174</v>
      </c>
      <c r="T151" s="49">
        <v>110901</v>
      </c>
      <c r="U151" s="49" t="s">
        <v>95</v>
      </c>
      <c r="V151" s="49" t="s">
        <v>97</v>
      </c>
      <c r="W151" s="49" t="s">
        <v>98</v>
      </c>
      <c r="X151" s="50">
        <v>300089008</v>
      </c>
      <c r="Y151" s="49" t="s">
        <v>153</v>
      </c>
      <c r="Z151" s="50" t="s">
        <v>99</v>
      </c>
      <c r="AA151" s="49" t="s">
        <v>100</v>
      </c>
      <c r="AB151" s="49"/>
      <c r="AC151" s="49">
        <v>125000</v>
      </c>
      <c r="AD151" s="49">
        <v>250000</v>
      </c>
      <c r="AE151" s="49">
        <v>500000</v>
      </c>
      <c r="AF151" s="49">
        <f t="shared" si="38"/>
        <v>-125000</v>
      </c>
    </row>
    <row r="152" spans="1:32">
      <c r="A152" s="52">
        <v>20230401</v>
      </c>
      <c r="B152" s="52">
        <v>20231130</v>
      </c>
      <c r="C152" s="52" t="s">
        <v>94</v>
      </c>
      <c r="D152" s="52" t="s">
        <v>178</v>
      </c>
      <c r="E152" s="52" t="s">
        <v>248</v>
      </c>
      <c r="F152" s="52">
        <v>90</v>
      </c>
      <c r="G152" s="52" t="s">
        <v>107</v>
      </c>
      <c r="H152" s="52"/>
      <c r="I152" s="52"/>
      <c r="J152" s="52"/>
      <c r="K152" s="52"/>
      <c r="L152" s="52" t="s">
        <v>164</v>
      </c>
      <c r="M152" s="52" t="s">
        <v>165</v>
      </c>
      <c r="N152" s="52" t="s">
        <v>166</v>
      </c>
      <c r="O152" s="52" t="s">
        <v>167</v>
      </c>
      <c r="P152" s="52" t="s">
        <v>179</v>
      </c>
      <c r="Q152" s="52" t="s">
        <v>180</v>
      </c>
      <c r="R152" s="52" t="s">
        <v>173</v>
      </c>
      <c r="S152" s="52" t="s">
        <v>174</v>
      </c>
      <c r="T152" s="52">
        <v>110902</v>
      </c>
      <c r="U152" s="52" t="s">
        <v>101</v>
      </c>
      <c r="V152" s="52" t="s">
        <v>97</v>
      </c>
      <c r="W152" s="52" t="s">
        <v>98</v>
      </c>
      <c r="X152" s="52"/>
      <c r="Y152" s="52"/>
      <c r="Z152" s="53"/>
      <c r="AA152" s="52"/>
      <c r="AB152" s="52"/>
      <c r="AC152" s="52">
        <v>7500000</v>
      </c>
      <c r="AD152" s="52">
        <v>500000</v>
      </c>
      <c r="AE152" s="52">
        <v>375000</v>
      </c>
      <c r="AF152" s="52">
        <f t="shared" si="38"/>
        <v>7625000</v>
      </c>
    </row>
    <row r="153" spans="1:32">
      <c r="A153" s="49">
        <v>20230401</v>
      </c>
      <c r="B153" s="49">
        <v>20231130</v>
      </c>
      <c r="C153" s="49" t="s">
        <v>94</v>
      </c>
      <c r="D153" s="49" t="s">
        <v>178</v>
      </c>
      <c r="E153" s="49" t="s">
        <v>248</v>
      </c>
      <c r="F153" s="49">
        <v>90</v>
      </c>
      <c r="G153" s="49" t="s">
        <v>107</v>
      </c>
      <c r="H153" s="49"/>
      <c r="I153" s="49"/>
      <c r="J153" s="49"/>
      <c r="K153" s="49"/>
      <c r="L153" s="49" t="s">
        <v>164</v>
      </c>
      <c r="M153" s="49" t="s">
        <v>165</v>
      </c>
      <c r="N153" s="49" t="s">
        <v>166</v>
      </c>
      <c r="O153" s="49" t="s">
        <v>167</v>
      </c>
      <c r="P153" s="49" t="s">
        <v>179</v>
      </c>
      <c r="Q153" s="49" t="s">
        <v>180</v>
      </c>
      <c r="R153" s="49" t="s">
        <v>173</v>
      </c>
      <c r="S153" s="49" t="s">
        <v>174</v>
      </c>
      <c r="T153" s="49">
        <v>110902</v>
      </c>
      <c r="U153" s="49" t="s">
        <v>101</v>
      </c>
      <c r="V153" s="49" t="s">
        <v>97</v>
      </c>
      <c r="W153" s="49" t="s">
        <v>98</v>
      </c>
      <c r="X153" s="49" t="s">
        <v>132</v>
      </c>
      <c r="Y153" s="49" t="s">
        <v>133</v>
      </c>
      <c r="Z153" s="50"/>
      <c r="AA153" s="49"/>
      <c r="AB153" s="49"/>
      <c r="AC153" s="49">
        <v>8750000</v>
      </c>
      <c r="AD153" s="49">
        <v>375000</v>
      </c>
      <c r="AE153" s="49">
        <v>250000</v>
      </c>
      <c r="AF153" s="49">
        <f t="shared" si="38"/>
        <v>8875000</v>
      </c>
    </row>
    <row r="154" spans="1:32">
      <c r="A154" s="52">
        <v>20230401</v>
      </c>
      <c r="B154" s="52">
        <v>20231130</v>
      </c>
      <c r="C154" s="52" t="s">
        <v>94</v>
      </c>
      <c r="D154" s="52" t="s">
        <v>178</v>
      </c>
      <c r="E154" s="52" t="s">
        <v>248</v>
      </c>
      <c r="F154" s="52">
        <v>90</v>
      </c>
      <c r="G154" s="52" t="s">
        <v>107</v>
      </c>
      <c r="H154" s="52"/>
      <c r="I154" s="52"/>
      <c r="J154" s="52"/>
      <c r="K154" s="52"/>
      <c r="L154" s="52" t="s">
        <v>164</v>
      </c>
      <c r="M154" s="52" t="s">
        <v>165</v>
      </c>
      <c r="N154" s="52" t="s">
        <v>166</v>
      </c>
      <c r="O154" s="52" t="s">
        <v>167</v>
      </c>
      <c r="P154" s="52" t="s">
        <v>179</v>
      </c>
      <c r="Q154" s="52" t="s">
        <v>180</v>
      </c>
      <c r="R154" s="52" t="s">
        <v>173</v>
      </c>
      <c r="S154" s="52" t="s">
        <v>174</v>
      </c>
      <c r="T154" s="52">
        <v>110902</v>
      </c>
      <c r="U154" s="52" t="s">
        <v>101</v>
      </c>
      <c r="V154" s="52" t="s">
        <v>97</v>
      </c>
      <c r="W154" s="52" t="s">
        <v>98</v>
      </c>
      <c r="X154" s="52" t="s">
        <v>132</v>
      </c>
      <c r="Y154" s="52" t="s">
        <v>133</v>
      </c>
      <c r="Z154" s="53">
        <v>10002</v>
      </c>
      <c r="AA154" s="52" t="s">
        <v>103</v>
      </c>
      <c r="AB154" s="52"/>
      <c r="AC154" s="52">
        <v>10000000</v>
      </c>
      <c r="AD154" s="52">
        <v>250000</v>
      </c>
      <c r="AE154" s="52">
        <v>875000</v>
      </c>
      <c r="AF154" s="52">
        <f t="shared" si="38"/>
        <v>9375000</v>
      </c>
    </row>
    <row r="155" spans="1:32">
      <c r="A155" s="49">
        <v>20230401</v>
      </c>
      <c r="B155" s="49">
        <v>20231130</v>
      </c>
      <c r="C155" s="49" t="s">
        <v>94</v>
      </c>
      <c r="D155" s="49" t="s">
        <v>178</v>
      </c>
      <c r="E155" s="49" t="s">
        <v>248</v>
      </c>
      <c r="F155" s="49">
        <v>90</v>
      </c>
      <c r="G155" s="49" t="s">
        <v>107</v>
      </c>
      <c r="H155" s="49"/>
      <c r="I155" s="49"/>
      <c r="J155" s="49"/>
      <c r="K155" s="49"/>
      <c r="L155" s="49" t="s">
        <v>164</v>
      </c>
      <c r="M155" s="49" t="s">
        <v>165</v>
      </c>
      <c r="N155" s="49" t="s">
        <v>166</v>
      </c>
      <c r="O155" s="49" t="s">
        <v>167</v>
      </c>
      <c r="P155" s="49" t="s">
        <v>179</v>
      </c>
      <c r="Q155" s="49" t="s">
        <v>180</v>
      </c>
      <c r="R155" s="49" t="s">
        <v>169</v>
      </c>
      <c r="S155" s="49" t="s">
        <v>177</v>
      </c>
      <c r="T155" s="49">
        <v>110501</v>
      </c>
      <c r="U155" s="49" t="s">
        <v>154</v>
      </c>
      <c r="V155" s="49" t="s">
        <v>96</v>
      </c>
      <c r="W155" s="49"/>
      <c r="X155" s="49"/>
      <c r="Y155" s="49"/>
      <c r="Z155" s="50"/>
      <c r="AA155" s="49"/>
      <c r="AB155" s="49"/>
      <c r="AC155" s="49">
        <v>2500000</v>
      </c>
      <c r="AD155" s="49">
        <v>1000000</v>
      </c>
      <c r="AE155" s="49">
        <v>875000</v>
      </c>
      <c r="AF155" s="49">
        <f t="shared" si="38"/>
        <v>2625000</v>
      </c>
    </row>
    <row r="156" spans="1:32">
      <c r="A156" s="52">
        <v>20230401</v>
      </c>
      <c r="B156" s="52">
        <v>20231130</v>
      </c>
      <c r="C156" s="52" t="s">
        <v>94</v>
      </c>
      <c r="D156" s="52" t="s">
        <v>178</v>
      </c>
      <c r="E156" s="52" t="s">
        <v>248</v>
      </c>
      <c r="F156" s="52">
        <v>90</v>
      </c>
      <c r="G156" s="52" t="s">
        <v>107</v>
      </c>
      <c r="H156" s="52"/>
      <c r="I156" s="52"/>
      <c r="J156" s="52"/>
      <c r="K156" s="52"/>
      <c r="L156" s="52" t="s">
        <v>164</v>
      </c>
      <c r="M156" s="52" t="s">
        <v>165</v>
      </c>
      <c r="N156" s="52" t="s">
        <v>166</v>
      </c>
      <c r="O156" s="52" t="s">
        <v>167</v>
      </c>
      <c r="P156" s="52" t="s">
        <v>179</v>
      </c>
      <c r="Q156" s="52" t="s">
        <v>180</v>
      </c>
      <c r="R156" s="52" t="s">
        <v>169</v>
      </c>
      <c r="S156" s="52" t="s">
        <v>177</v>
      </c>
      <c r="T156" s="52">
        <v>110501</v>
      </c>
      <c r="U156" s="52" t="s">
        <v>154</v>
      </c>
      <c r="V156" s="52" t="s">
        <v>96</v>
      </c>
      <c r="W156" s="52"/>
      <c r="X156" s="52" t="s">
        <v>132</v>
      </c>
      <c r="Y156" s="52" t="s">
        <v>133</v>
      </c>
      <c r="Z156" s="53"/>
      <c r="AA156" s="52"/>
      <c r="AB156" s="52"/>
      <c r="AC156" s="52">
        <v>3750000</v>
      </c>
      <c r="AD156" s="52">
        <v>875000</v>
      </c>
      <c r="AE156" s="52">
        <v>750000</v>
      </c>
      <c r="AF156" s="52">
        <f t="shared" si="38"/>
        <v>3875000</v>
      </c>
    </row>
    <row r="157" spans="1:32">
      <c r="A157" s="49">
        <v>20230401</v>
      </c>
      <c r="B157" s="49">
        <v>20231130</v>
      </c>
      <c r="C157" s="49" t="s">
        <v>94</v>
      </c>
      <c r="D157" s="49" t="s">
        <v>178</v>
      </c>
      <c r="E157" s="49" t="s">
        <v>248</v>
      </c>
      <c r="F157" s="49">
        <v>90</v>
      </c>
      <c r="G157" s="49" t="s">
        <v>107</v>
      </c>
      <c r="H157" s="49"/>
      <c r="I157" s="49"/>
      <c r="J157" s="49"/>
      <c r="K157" s="49"/>
      <c r="L157" s="49" t="s">
        <v>164</v>
      </c>
      <c r="M157" s="49" t="s">
        <v>165</v>
      </c>
      <c r="N157" s="49" t="s">
        <v>166</v>
      </c>
      <c r="O157" s="49" t="s">
        <v>167</v>
      </c>
      <c r="P157" s="49" t="s">
        <v>179</v>
      </c>
      <c r="Q157" s="49" t="s">
        <v>180</v>
      </c>
      <c r="R157" s="49" t="s">
        <v>169</v>
      </c>
      <c r="S157" s="49" t="s">
        <v>177</v>
      </c>
      <c r="T157" s="49">
        <v>110901</v>
      </c>
      <c r="U157" s="49" t="s">
        <v>95</v>
      </c>
      <c r="V157" s="49" t="s">
        <v>97</v>
      </c>
      <c r="W157" s="49" t="s">
        <v>98</v>
      </c>
      <c r="X157" s="49"/>
      <c r="Y157" s="49"/>
      <c r="Z157" s="50"/>
      <c r="AA157" s="49"/>
      <c r="AB157" s="49"/>
      <c r="AC157" s="49">
        <v>2500000</v>
      </c>
      <c r="AD157" s="49">
        <v>1000000</v>
      </c>
      <c r="AE157" s="49">
        <v>875000</v>
      </c>
      <c r="AF157" s="49">
        <f t="shared" si="38"/>
        <v>2625000</v>
      </c>
    </row>
    <row r="158" spans="1:32">
      <c r="A158" s="52">
        <v>20230401</v>
      </c>
      <c r="B158" s="52">
        <v>20231130</v>
      </c>
      <c r="C158" s="52" t="s">
        <v>94</v>
      </c>
      <c r="D158" s="52" t="s">
        <v>178</v>
      </c>
      <c r="E158" s="52" t="s">
        <v>248</v>
      </c>
      <c r="F158" s="52">
        <v>90</v>
      </c>
      <c r="G158" s="52" t="s">
        <v>107</v>
      </c>
      <c r="H158" s="52"/>
      <c r="I158" s="52"/>
      <c r="J158" s="52"/>
      <c r="K158" s="52"/>
      <c r="L158" s="52" t="s">
        <v>164</v>
      </c>
      <c r="M158" s="52" t="s">
        <v>165</v>
      </c>
      <c r="N158" s="52" t="s">
        <v>166</v>
      </c>
      <c r="O158" s="52" t="s">
        <v>167</v>
      </c>
      <c r="P158" s="52" t="s">
        <v>179</v>
      </c>
      <c r="Q158" s="52" t="s">
        <v>180</v>
      </c>
      <c r="R158" s="52" t="s">
        <v>169</v>
      </c>
      <c r="S158" s="52" t="s">
        <v>177</v>
      </c>
      <c r="T158" s="52">
        <v>110901</v>
      </c>
      <c r="U158" s="52" t="s">
        <v>95</v>
      </c>
      <c r="V158" s="52" t="s">
        <v>97</v>
      </c>
      <c r="W158" s="52" t="s">
        <v>98</v>
      </c>
      <c r="X158" s="52" t="s">
        <v>132</v>
      </c>
      <c r="Y158" s="52" t="s">
        <v>133</v>
      </c>
      <c r="Z158" s="53"/>
      <c r="AA158" s="52"/>
      <c r="AB158" s="52"/>
      <c r="AC158" s="52">
        <v>3750000</v>
      </c>
      <c r="AD158" s="52">
        <v>875000</v>
      </c>
      <c r="AE158" s="52">
        <v>750000</v>
      </c>
      <c r="AF158" s="52">
        <f t="shared" si="38"/>
        <v>3875000</v>
      </c>
    </row>
    <row r="159" spans="1:32">
      <c r="A159" s="49">
        <v>20230401</v>
      </c>
      <c r="B159" s="49">
        <v>20231130</v>
      </c>
      <c r="C159" s="49" t="s">
        <v>94</v>
      </c>
      <c r="D159" s="49" t="s">
        <v>178</v>
      </c>
      <c r="E159" s="49" t="s">
        <v>248</v>
      </c>
      <c r="F159" s="49">
        <v>90</v>
      </c>
      <c r="G159" s="49" t="s">
        <v>107</v>
      </c>
      <c r="H159" s="49"/>
      <c r="I159" s="49"/>
      <c r="J159" s="49"/>
      <c r="K159" s="49"/>
      <c r="L159" s="49" t="s">
        <v>164</v>
      </c>
      <c r="M159" s="49" t="s">
        <v>165</v>
      </c>
      <c r="N159" s="49" t="s">
        <v>166</v>
      </c>
      <c r="O159" s="49" t="s">
        <v>167</v>
      </c>
      <c r="P159" s="49" t="s">
        <v>179</v>
      </c>
      <c r="Q159" s="49" t="s">
        <v>180</v>
      </c>
      <c r="R159" s="49" t="s">
        <v>169</v>
      </c>
      <c r="S159" s="49" t="s">
        <v>177</v>
      </c>
      <c r="T159" s="49">
        <v>110901</v>
      </c>
      <c r="U159" s="49" t="s">
        <v>95</v>
      </c>
      <c r="V159" s="49" t="s">
        <v>97</v>
      </c>
      <c r="W159" s="49" t="s">
        <v>98</v>
      </c>
      <c r="X159" s="49" t="s">
        <v>132</v>
      </c>
      <c r="Y159" s="49" t="s">
        <v>133</v>
      </c>
      <c r="Z159" s="50" t="s">
        <v>99</v>
      </c>
      <c r="AA159" s="49" t="s">
        <v>100</v>
      </c>
      <c r="AB159" s="49"/>
      <c r="AC159" s="49">
        <v>5000000</v>
      </c>
      <c r="AD159" s="49"/>
      <c r="AE159" s="49">
        <v>5000000</v>
      </c>
      <c r="AF159" s="49"/>
    </row>
    <row r="160" spans="1:32">
      <c r="A160" s="52">
        <v>20230401</v>
      </c>
      <c r="B160" s="52">
        <v>20231130</v>
      </c>
      <c r="C160" s="52" t="s">
        <v>94</v>
      </c>
      <c r="D160" s="52" t="s">
        <v>178</v>
      </c>
      <c r="E160" s="52" t="s">
        <v>248</v>
      </c>
      <c r="F160" s="52">
        <v>90</v>
      </c>
      <c r="G160" s="52" t="s">
        <v>107</v>
      </c>
      <c r="H160" s="52"/>
      <c r="I160" s="52"/>
      <c r="J160" s="52"/>
      <c r="K160" s="52"/>
      <c r="L160" s="52" t="s">
        <v>164</v>
      </c>
      <c r="M160" s="52" t="s">
        <v>165</v>
      </c>
      <c r="N160" s="52" t="s">
        <v>166</v>
      </c>
      <c r="O160" s="52" t="s">
        <v>167</v>
      </c>
      <c r="P160" s="52" t="s">
        <v>179</v>
      </c>
      <c r="Q160" s="52" t="s">
        <v>180</v>
      </c>
      <c r="R160" s="52" t="s">
        <v>169</v>
      </c>
      <c r="S160" s="52" t="s">
        <v>177</v>
      </c>
      <c r="T160" s="52">
        <v>110901</v>
      </c>
      <c r="U160" s="52" t="s">
        <v>95</v>
      </c>
      <c r="V160" s="52" t="s">
        <v>97</v>
      </c>
      <c r="W160" s="52" t="s">
        <v>98</v>
      </c>
      <c r="X160" s="53">
        <v>300089008</v>
      </c>
      <c r="Y160" s="52" t="s">
        <v>153</v>
      </c>
      <c r="Z160" s="53"/>
      <c r="AA160" s="52"/>
      <c r="AB160" s="52"/>
      <c r="AC160" s="52">
        <v>3750000</v>
      </c>
      <c r="AD160" s="52">
        <v>875000</v>
      </c>
      <c r="AE160" s="52">
        <v>750000</v>
      </c>
      <c r="AF160" s="52">
        <f t="shared" ref="AF160:AF164" si="39">AD160-AE160+AC160</f>
        <v>3875000</v>
      </c>
    </row>
    <row r="161" spans="1:32">
      <c r="A161" s="49">
        <v>20230401</v>
      </c>
      <c r="B161" s="49">
        <v>20231130</v>
      </c>
      <c r="C161" s="49" t="s">
        <v>94</v>
      </c>
      <c r="D161" s="49" t="s">
        <v>178</v>
      </c>
      <c r="E161" s="49" t="s">
        <v>248</v>
      </c>
      <c r="F161" s="49">
        <v>90</v>
      </c>
      <c r="G161" s="49" t="s">
        <v>107</v>
      </c>
      <c r="H161" s="49"/>
      <c r="I161" s="49"/>
      <c r="J161" s="49"/>
      <c r="K161" s="49"/>
      <c r="L161" s="49" t="s">
        <v>164</v>
      </c>
      <c r="M161" s="49" t="s">
        <v>165</v>
      </c>
      <c r="N161" s="49" t="s">
        <v>166</v>
      </c>
      <c r="O161" s="49" t="s">
        <v>167</v>
      </c>
      <c r="P161" s="49" t="s">
        <v>179</v>
      </c>
      <c r="Q161" s="49" t="s">
        <v>180</v>
      </c>
      <c r="R161" s="49" t="s">
        <v>169</v>
      </c>
      <c r="S161" s="49" t="s">
        <v>177</v>
      </c>
      <c r="T161" s="49">
        <v>110901</v>
      </c>
      <c r="U161" s="49" t="s">
        <v>95</v>
      </c>
      <c r="V161" s="49" t="s">
        <v>97</v>
      </c>
      <c r="W161" s="49" t="s">
        <v>98</v>
      </c>
      <c r="X161" s="50">
        <v>300089008</v>
      </c>
      <c r="Y161" s="49" t="s">
        <v>153</v>
      </c>
      <c r="Z161" s="50" t="s">
        <v>99</v>
      </c>
      <c r="AA161" s="49" t="s">
        <v>100</v>
      </c>
      <c r="AB161" s="49"/>
      <c r="AC161" s="49">
        <v>125000</v>
      </c>
      <c r="AD161" s="49">
        <v>250000</v>
      </c>
      <c r="AE161" s="49">
        <v>500000</v>
      </c>
      <c r="AF161" s="49">
        <f t="shared" si="39"/>
        <v>-125000</v>
      </c>
    </row>
    <row r="162" spans="1:32">
      <c r="A162" s="52">
        <v>20230401</v>
      </c>
      <c r="B162" s="52">
        <v>20231130</v>
      </c>
      <c r="C162" s="52" t="s">
        <v>94</v>
      </c>
      <c r="D162" s="52" t="s">
        <v>178</v>
      </c>
      <c r="E162" s="52" t="s">
        <v>248</v>
      </c>
      <c r="F162" s="52">
        <v>90</v>
      </c>
      <c r="G162" s="52" t="s">
        <v>107</v>
      </c>
      <c r="H162" s="52"/>
      <c r="I162" s="52"/>
      <c r="J162" s="52"/>
      <c r="K162" s="52"/>
      <c r="L162" s="52" t="s">
        <v>164</v>
      </c>
      <c r="M162" s="52" t="s">
        <v>165</v>
      </c>
      <c r="N162" s="52" t="s">
        <v>166</v>
      </c>
      <c r="O162" s="52" t="s">
        <v>167</v>
      </c>
      <c r="P162" s="52" t="s">
        <v>179</v>
      </c>
      <c r="Q162" s="52" t="s">
        <v>180</v>
      </c>
      <c r="R162" s="52" t="s">
        <v>169</v>
      </c>
      <c r="S162" s="52" t="s">
        <v>177</v>
      </c>
      <c r="T162" s="52">
        <v>110902</v>
      </c>
      <c r="U162" s="52" t="s">
        <v>101</v>
      </c>
      <c r="V162" s="52" t="s">
        <v>97</v>
      </c>
      <c r="W162" s="52" t="s">
        <v>98</v>
      </c>
      <c r="X162" s="52"/>
      <c r="Y162" s="52"/>
      <c r="Z162" s="53"/>
      <c r="AA162" s="52"/>
      <c r="AB162" s="52"/>
      <c r="AC162" s="52">
        <v>7500000</v>
      </c>
      <c r="AD162" s="52">
        <v>500000</v>
      </c>
      <c r="AE162" s="52">
        <v>375000</v>
      </c>
      <c r="AF162" s="52">
        <f t="shared" si="39"/>
        <v>7625000</v>
      </c>
    </row>
    <row r="163" spans="1:32">
      <c r="A163" s="49">
        <v>20230401</v>
      </c>
      <c r="B163" s="49">
        <v>20231130</v>
      </c>
      <c r="C163" s="49" t="s">
        <v>94</v>
      </c>
      <c r="D163" s="49" t="s">
        <v>178</v>
      </c>
      <c r="E163" s="49" t="s">
        <v>248</v>
      </c>
      <c r="F163" s="49">
        <v>90</v>
      </c>
      <c r="G163" s="49" t="s">
        <v>107</v>
      </c>
      <c r="H163" s="49"/>
      <c r="I163" s="49"/>
      <c r="J163" s="49"/>
      <c r="K163" s="49"/>
      <c r="L163" s="49" t="s">
        <v>164</v>
      </c>
      <c r="M163" s="49" t="s">
        <v>165</v>
      </c>
      <c r="N163" s="49" t="s">
        <v>166</v>
      </c>
      <c r="O163" s="49" t="s">
        <v>167</v>
      </c>
      <c r="P163" s="49" t="s">
        <v>179</v>
      </c>
      <c r="Q163" s="49" t="s">
        <v>180</v>
      </c>
      <c r="R163" s="49" t="s">
        <v>169</v>
      </c>
      <c r="S163" s="49" t="s">
        <v>177</v>
      </c>
      <c r="T163" s="49">
        <v>110902</v>
      </c>
      <c r="U163" s="49" t="s">
        <v>101</v>
      </c>
      <c r="V163" s="49" t="s">
        <v>97</v>
      </c>
      <c r="W163" s="49" t="s">
        <v>98</v>
      </c>
      <c r="X163" s="49" t="s">
        <v>132</v>
      </c>
      <c r="Y163" s="49" t="s">
        <v>133</v>
      </c>
      <c r="Z163" s="50"/>
      <c r="AA163" s="49"/>
      <c r="AB163" s="49"/>
      <c r="AC163" s="49">
        <v>8750000</v>
      </c>
      <c r="AD163" s="49">
        <v>375000</v>
      </c>
      <c r="AE163" s="49">
        <v>250000</v>
      </c>
      <c r="AF163" s="49">
        <f t="shared" si="39"/>
        <v>8875000</v>
      </c>
    </row>
    <row r="164" spans="1:32">
      <c r="A164" s="52">
        <v>20230401</v>
      </c>
      <c r="B164" s="52">
        <v>20231130</v>
      </c>
      <c r="C164" s="52" t="s">
        <v>94</v>
      </c>
      <c r="D164" s="52" t="s">
        <v>178</v>
      </c>
      <c r="E164" s="52" t="s">
        <v>248</v>
      </c>
      <c r="F164" s="52">
        <v>90</v>
      </c>
      <c r="G164" s="52" t="s">
        <v>107</v>
      </c>
      <c r="H164" s="52"/>
      <c r="I164" s="52"/>
      <c r="J164" s="52"/>
      <c r="K164" s="52"/>
      <c r="L164" s="52" t="s">
        <v>164</v>
      </c>
      <c r="M164" s="52" t="s">
        <v>165</v>
      </c>
      <c r="N164" s="52" t="s">
        <v>166</v>
      </c>
      <c r="O164" s="52" t="s">
        <v>167</v>
      </c>
      <c r="P164" s="52" t="s">
        <v>179</v>
      </c>
      <c r="Q164" s="52" t="s">
        <v>180</v>
      </c>
      <c r="R164" s="52" t="s">
        <v>169</v>
      </c>
      <c r="S164" s="52" t="s">
        <v>177</v>
      </c>
      <c r="T164" s="52">
        <v>110902</v>
      </c>
      <c r="U164" s="52" t="s">
        <v>101</v>
      </c>
      <c r="V164" s="52" t="s">
        <v>97</v>
      </c>
      <c r="W164" s="52" t="s">
        <v>98</v>
      </c>
      <c r="X164" s="52" t="s">
        <v>132</v>
      </c>
      <c r="Y164" s="52" t="s">
        <v>133</v>
      </c>
      <c r="Z164" s="53">
        <v>10002</v>
      </c>
      <c r="AA164" s="52" t="s">
        <v>103</v>
      </c>
      <c r="AB164" s="52"/>
      <c r="AC164" s="52">
        <v>10000000</v>
      </c>
      <c r="AD164" s="52">
        <v>250000</v>
      </c>
      <c r="AE164" s="52">
        <v>875000</v>
      </c>
      <c r="AF164" s="52">
        <f t="shared" si="39"/>
        <v>9375000</v>
      </c>
    </row>
    <row r="165" spans="1:32">
      <c r="A165" s="49">
        <v>20230401</v>
      </c>
      <c r="B165" s="49">
        <v>20231130</v>
      </c>
      <c r="C165" s="49" t="s">
        <v>94</v>
      </c>
      <c r="D165" s="49" t="s">
        <v>178</v>
      </c>
      <c r="E165" s="49" t="s">
        <v>248</v>
      </c>
      <c r="F165" s="49">
        <v>90</v>
      </c>
      <c r="G165" s="49" t="s">
        <v>107</v>
      </c>
      <c r="H165" s="49"/>
      <c r="I165" s="49"/>
      <c r="J165" s="49"/>
      <c r="K165" s="49"/>
      <c r="L165" s="49" t="s">
        <v>164</v>
      </c>
      <c r="M165" s="49" t="s">
        <v>165</v>
      </c>
      <c r="N165" s="49"/>
      <c r="O165" s="49"/>
      <c r="P165" s="49" t="s">
        <v>164</v>
      </c>
      <c r="Q165" s="49" t="s">
        <v>165</v>
      </c>
      <c r="R165" s="49" t="s">
        <v>173</v>
      </c>
      <c r="S165" s="49" t="s">
        <v>174</v>
      </c>
      <c r="T165" s="49">
        <v>110501</v>
      </c>
      <c r="U165" s="49" t="s">
        <v>154</v>
      </c>
      <c r="V165" s="49" t="s">
        <v>96</v>
      </c>
      <c r="W165" s="49"/>
      <c r="X165" s="49"/>
      <c r="Y165" s="49"/>
      <c r="Z165" s="50"/>
      <c r="AA165" s="49"/>
      <c r="AB165" s="49"/>
      <c r="AC165" s="49">
        <v>5000000</v>
      </c>
      <c r="AD165" s="49">
        <v>2000000</v>
      </c>
      <c r="AE165" s="49">
        <v>1750000</v>
      </c>
      <c r="AF165" s="49">
        <f>AD165-AE165+AC165</f>
        <v>5250000</v>
      </c>
    </row>
    <row r="166" spans="1:32">
      <c r="A166" s="52">
        <v>20230401</v>
      </c>
      <c r="B166" s="52">
        <v>20231130</v>
      </c>
      <c r="C166" s="52" t="s">
        <v>94</v>
      </c>
      <c r="D166" s="52" t="s">
        <v>178</v>
      </c>
      <c r="E166" s="52" t="s">
        <v>248</v>
      </c>
      <c r="F166" s="52">
        <v>90</v>
      </c>
      <c r="G166" s="52" t="s">
        <v>107</v>
      </c>
      <c r="H166" s="52"/>
      <c r="I166" s="52"/>
      <c r="J166" s="52"/>
      <c r="K166" s="52"/>
      <c r="L166" s="52" t="s">
        <v>164</v>
      </c>
      <c r="M166" s="52" t="s">
        <v>165</v>
      </c>
      <c r="N166" s="52"/>
      <c r="O166" s="52"/>
      <c r="P166" s="52" t="s">
        <v>164</v>
      </c>
      <c r="Q166" s="52" t="s">
        <v>165</v>
      </c>
      <c r="R166" s="52" t="s">
        <v>173</v>
      </c>
      <c r="S166" s="52" t="s">
        <v>174</v>
      </c>
      <c r="T166" s="52">
        <v>110501</v>
      </c>
      <c r="U166" s="52" t="s">
        <v>154</v>
      </c>
      <c r="V166" s="52" t="s">
        <v>96</v>
      </c>
      <c r="W166" s="52"/>
      <c r="X166" s="52" t="s">
        <v>132</v>
      </c>
      <c r="Y166" s="52" t="s">
        <v>133</v>
      </c>
      <c r="Z166" s="53"/>
      <c r="AA166" s="52"/>
      <c r="AB166" s="52"/>
      <c r="AC166" s="52">
        <v>7500000</v>
      </c>
      <c r="AD166" s="52">
        <v>1750000</v>
      </c>
      <c r="AE166" s="52">
        <v>1500000</v>
      </c>
      <c r="AF166" s="52">
        <f t="shared" ref="AF166:AF168" si="40">AD166-AE166+AC166</f>
        <v>7750000</v>
      </c>
    </row>
    <row r="167" spans="1:32">
      <c r="A167" s="49">
        <v>20230401</v>
      </c>
      <c r="B167" s="49">
        <v>20231130</v>
      </c>
      <c r="C167" s="49" t="s">
        <v>94</v>
      </c>
      <c r="D167" s="49" t="s">
        <v>178</v>
      </c>
      <c r="E167" s="49" t="s">
        <v>248</v>
      </c>
      <c r="F167" s="49">
        <v>90</v>
      </c>
      <c r="G167" s="49" t="s">
        <v>107</v>
      </c>
      <c r="H167" s="49"/>
      <c r="I167" s="49"/>
      <c r="J167" s="49"/>
      <c r="K167" s="49"/>
      <c r="L167" s="49" t="s">
        <v>164</v>
      </c>
      <c r="M167" s="49" t="s">
        <v>165</v>
      </c>
      <c r="N167" s="49"/>
      <c r="O167" s="49"/>
      <c r="P167" s="49" t="s">
        <v>164</v>
      </c>
      <c r="Q167" s="49" t="s">
        <v>165</v>
      </c>
      <c r="R167" s="49" t="s">
        <v>173</v>
      </c>
      <c r="S167" s="49" t="s">
        <v>174</v>
      </c>
      <c r="T167" s="49">
        <v>110901</v>
      </c>
      <c r="U167" s="49" t="s">
        <v>95</v>
      </c>
      <c r="V167" s="49" t="s">
        <v>97</v>
      </c>
      <c r="W167" s="49" t="s">
        <v>98</v>
      </c>
      <c r="X167" s="49"/>
      <c r="Y167" s="49"/>
      <c r="Z167" s="50"/>
      <c r="AA167" s="49"/>
      <c r="AB167" s="49"/>
      <c r="AC167" s="49">
        <v>5000000</v>
      </c>
      <c r="AD167" s="49">
        <v>2000000</v>
      </c>
      <c r="AE167" s="49">
        <v>1750000</v>
      </c>
      <c r="AF167" s="49">
        <f t="shared" si="40"/>
        <v>5250000</v>
      </c>
    </row>
    <row r="168" spans="1:32">
      <c r="A168" s="52">
        <v>20230401</v>
      </c>
      <c r="B168" s="52">
        <v>20231130</v>
      </c>
      <c r="C168" s="52" t="s">
        <v>94</v>
      </c>
      <c r="D168" s="52" t="s">
        <v>178</v>
      </c>
      <c r="E168" s="52" t="s">
        <v>248</v>
      </c>
      <c r="F168" s="52">
        <v>90</v>
      </c>
      <c r="G168" s="52" t="s">
        <v>107</v>
      </c>
      <c r="H168" s="52"/>
      <c r="I168" s="52"/>
      <c r="J168" s="52"/>
      <c r="K168" s="52"/>
      <c r="L168" s="52" t="s">
        <v>164</v>
      </c>
      <c r="M168" s="52" t="s">
        <v>165</v>
      </c>
      <c r="N168" s="52"/>
      <c r="O168" s="52"/>
      <c r="P168" s="52" t="s">
        <v>164</v>
      </c>
      <c r="Q168" s="52" t="s">
        <v>165</v>
      </c>
      <c r="R168" s="52" t="s">
        <v>173</v>
      </c>
      <c r="S168" s="52" t="s">
        <v>174</v>
      </c>
      <c r="T168" s="52">
        <v>110901</v>
      </c>
      <c r="U168" s="52" t="s">
        <v>95</v>
      </c>
      <c r="V168" s="52" t="s">
        <v>97</v>
      </c>
      <c r="W168" s="52" t="s">
        <v>98</v>
      </c>
      <c r="X168" s="52" t="s">
        <v>132</v>
      </c>
      <c r="Y168" s="52" t="s">
        <v>133</v>
      </c>
      <c r="Z168" s="53"/>
      <c r="AA168" s="52"/>
      <c r="AB168" s="52"/>
      <c r="AC168" s="52">
        <v>7500000</v>
      </c>
      <c r="AD168" s="52">
        <v>1750000</v>
      </c>
      <c r="AE168" s="52">
        <v>1500000</v>
      </c>
      <c r="AF168" s="52">
        <f t="shared" si="40"/>
        <v>7750000</v>
      </c>
    </row>
    <row r="169" spans="1:32">
      <c r="A169" s="49">
        <v>20230401</v>
      </c>
      <c r="B169" s="49">
        <v>20231130</v>
      </c>
      <c r="C169" s="49" t="s">
        <v>94</v>
      </c>
      <c r="D169" s="49" t="s">
        <v>178</v>
      </c>
      <c r="E169" s="49" t="s">
        <v>248</v>
      </c>
      <c r="F169" s="49">
        <v>90</v>
      </c>
      <c r="G169" s="49" t="s">
        <v>107</v>
      </c>
      <c r="H169" s="49"/>
      <c r="I169" s="49"/>
      <c r="J169" s="49"/>
      <c r="K169" s="49"/>
      <c r="L169" s="49" t="s">
        <v>164</v>
      </c>
      <c r="M169" s="49" t="s">
        <v>165</v>
      </c>
      <c r="N169" s="49"/>
      <c r="O169" s="49"/>
      <c r="P169" s="49" t="s">
        <v>164</v>
      </c>
      <c r="Q169" s="49" t="s">
        <v>165</v>
      </c>
      <c r="R169" s="49" t="s">
        <v>173</v>
      </c>
      <c r="S169" s="49" t="s">
        <v>174</v>
      </c>
      <c r="T169" s="49">
        <v>110901</v>
      </c>
      <c r="U169" s="49" t="s">
        <v>95</v>
      </c>
      <c r="V169" s="49" t="s">
        <v>97</v>
      </c>
      <c r="W169" s="49" t="s">
        <v>98</v>
      </c>
      <c r="X169" s="49" t="s">
        <v>132</v>
      </c>
      <c r="Y169" s="49" t="s">
        <v>133</v>
      </c>
      <c r="Z169" s="50" t="s">
        <v>99</v>
      </c>
      <c r="AA169" s="49" t="s">
        <v>100</v>
      </c>
      <c r="AB169" s="49"/>
      <c r="AC169" s="49">
        <v>10000000</v>
      </c>
      <c r="AD169" s="49"/>
      <c r="AE169" s="49">
        <v>10000000</v>
      </c>
      <c r="AF169" s="49"/>
    </row>
    <row r="170" spans="1:32">
      <c r="A170" s="52">
        <v>20230401</v>
      </c>
      <c r="B170" s="52">
        <v>20231130</v>
      </c>
      <c r="C170" s="52" t="s">
        <v>94</v>
      </c>
      <c r="D170" s="52" t="s">
        <v>178</v>
      </c>
      <c r="E170" s="52" t="s">
        <v>248</v>
      </c>
      <c r="F170" s="52">
        <v>90</v>
      </c>
      <c r="G170" s="52" t="s">
        <v>107</v>
      </c>
      <c r="H170" s="52"/>
      <c r="I170" s="52"/>
      <c r="J170" s="52"/>
      <c r="K170" s="52"/>
      <c r="L170" s="52" t="s">
        <v>164</v>
      </c>
      <c r="M170" s="52" t="s">
        <v>165</v>
      </c>
      <c r="N170" s="52"/>
      <c r="O170" s="52"/>
      <c r="P170" s="52" t="s">
        <v>164</v>
      </c>
      <c r="Q170" s="52" t="s">
        <v>165</v>
      </c>
      <c r="R170" s="52" t="s">
        <v>173</v>
      </c>
      <c r="S170" s="52" t="s">
        <v>174</v>
      </c>
      <c r="T170" s="52">
        <v>110901</v>
      </c>
      <c r="U170" s="52" t="s">
        <v>95</v>
      </c>
      <c r="V170" s="52" t="s">
        <v>97</v>
      </c>
      <c r="W170" s="52" t="s">
        <v>98</v>
      </c>
      <c r="X170" s="53">
        <v>300089008</v>
      </c>
      <c r="Y170" s="52" t="s">
        <v>153</v>
      </c>
      <c r="Z170" s="53"/>
      <c r="AA170" s="52"/>
      <c r="AB170" s="52"/>
      <c r="AC170" s="52">
        <v>7500000</v>
      </c>
      <c r="AD170" s="52">
        <v>1750000</v>
      </c>
      <c r="AE170" s="52">
        <v>1500000</v>
      </c>
      <c r="AF170" s="52">
        <f t="shared" ref="AF170:AF175" si="41">AD170-AE170+AC170</f>
        <v>7750000</v>
      </c>
    </row>
    <row r="171" spans="1:32">
      <c r="A171" s="49">
        <v>20230401</v>
      </c>
      <c r="B171" s="49">
        <v>20231130</v>
      </c>
      <c r="C171" s="49" t="s">
        <v>94</v>
      </c>
      <c r="D171" s="49" t="s">
        <v>178</v>
      </c>
      <c r="E171" s="49" t="s">
        <v>248</v>
      </c>
      <c r="F171" s="49">
        <v>90</v>
      </c>
      <c r="G171" s="49" t="s">
        <v>107</v>
      </c>
      <c r="H171" s="49"/>
      <c r="I171" s="49"/>
      <c r="J171" s="49"/>
      <c r="K171" s="49"/>
      <c r="L171" s="49" t="s">
        <v>164</v>
      </c>
      <c r="M171" s="49" t="s">
        <v>165</v>
      </c>
      <c r="N171" s="49"/>
      <c r="O171" s="49"/>
      <c r="P171" s="49" t="s">
        <v>164</v>
      </c>
      <c r="Q171" s="49" t="s">
        <v>165</v>
      </c>
      <c r="R171" s="49" t="s">
        <v>173</v>
      </c>
      <c r="S171" s="49" t="s">
        <v>174</v>
      </c>
      <c r="T171" s="49">
        <v>110901</v>
      </c>
      <c r="U171" s="49" t="s">
        <v>95</v>
      </c>
      <c r="V171" s="49" t="s">
        <v>97</v>
      </c>
      <c r="W171" s="49" t="s">
        <v>98</v>
      </c>
      <c r="X171" s="50">
        <v>300089008</v>
      </c>
      <c r="Y171" s="49" t="s">
        <v>153</v>
      </c>
      <c r="Z171" s="50" t="s">
        <v>99</v>
      </c>
      <c r="AA171" s="49" t="s">
        <v>100</v>
      </c>
      <c r="AB171" s="49"/>
      <c r="AC171" s="49">
        <v>250000</v>
      </c>
      <c r="AD171" s="49">
        <v>500000</v>
      </c>
      <c r="AE171" s="49">
        <v>1000000</v>
      </c>
      <c r="AF171" s="49">
        <f t="shared" si="41"/>
        <v>-250000</v>
      </c>
    </row>
    <row r="172" spans="1:32">
      <c r="A172" s="52">
        <v>20230401</v>
      </c>
      <c r="B172" s="52">
        <v>20231130</v>
      </c>
      <c r="C172" s="52" t="s">
        <v>94</v>
      </c>
      <c r="D172" s="52" t="s">
        <v>178</v>
      </c>
      <c r="E172" s="52" t="s">
        <v>248</v>
      </c>
      <c r="F172" s="52">
        <v>90</v>
      </c>
      <c r="G172" s="52" t="s">
        <v>107</v>
      </c>
      <c r="H172" s="52"/>
      <c r="I172" s="52"/>
      <c r="J172" s="52"/>
      <c r="K172" s="52"/>
      <c r="L172" s="52" t="s">
        <v>164</v>
      </c>
      <c r="M172" s="52" t="s">
        <v>165</v>
      </c>
      <c r="N172" s="52"/>
      <c r="O172" s="52"/>
      <c r="P172" s="52" t="s">
        <v>164</v>
      </c>
      <c r="Q172" s="52" t="s">
        <v>165</v>
      </c>
      <c r="R172" s="52" t="s">
        <v>173</v>
      </c>
      <c r="S172" s="52" t="s">
        <v>174</v>
      </c>
      <c r="T172" s="52">
        <v>110902</v>
      </c>
      <c r="U172" s="52" t="s">
        <v>101</v>
      </c>
      <c r="V172" s="52" t="s">
        <v>97</v>
      </c>
      <c r="W172" s="52" t="s">
        <v>98</v>
      </c>
      <c r="X172" s="52"/>
      <c r="Y172" s="52"/>
      <c r="Z172" s="53"/>
      <c r="AA172" s="52"/>
      <c r="AB172" s="52"/>
      <c r="AC172" s="52">
        <v>15000000</v>
      </c>
      <c r="AD172" s="52">
        <v>1000000</v>
      </c>
      <c r="AE172" s="52">
        <v>750000</v>
      </c>
      <c r="AF172" s="52">
        <f t="shared" si="41"/>
        <v>15250000</v>
      </c>
    </row>
    <row r="173" spans="1:32">
      <c r="A173" s="49">
        <v>20230401</v>
      </c>
      <c r="B173" s="49">
        <v>20231130</v>
      </c>
      <c r="C173" s="49" t="s">
        <v>94</v>
      </c>
      <c r="D173" s="49" t="s">
        <v>178</v>
      </c>
      <c r="E173" s="49" t="s">
        <v>248</v>
      </c>
      <c r="F173" s="49">
        <v>90</v>
      </c>
      <c r="G173" s="49" t="s">
        <v>107</v>
      </c>
      <c r="H173" s="49"/>
      <c r="I173" s="49"/>
      <c r="J173" s="49"/>
      <c r="K173" s="49"/>
      <c r="L173" s="49" t="s">
        <v>164</v>
      </c>
      <c r="M173" s="49" t="s">
        <v>165</v>
      </c>
      <c r="N173" s="49"/>
      <c r="O173" s="49"/>
      <c r="P173" s="49" t="s">
        <v>164</v>
      </c>
      <c r="Q173" s="49" t="s">
        <v>165</v>
      </c>
      <c r="R173" s="49" t="s">
        <v>173</v>
      </c>
      <c r="S173" s="49" t="s">
        <v>174</v>
      </c>
      <c r="T173" s="49">
        <v>110902</v>
      </c>
      <c r="U173" s="49" t="s">
        <v>101</v>
      </c>
      <c r="V173" s="49" t="s">
        <v>97</v>
      </c>
      <c r="W173" s="49" t="s">
        <v>98</v>
      </c>
      <c r="X173" s="49" t="s">
        <v>132</v>
      </c>
      <c r="Y173" s="49" t="s">
        <v>133</v>
      </c>
      <c r="Z173" s="50"/>
      <c r="AA173" s="49"/>
      <c r="AB173" s="49"/>
      <c r="AC173" s="49">
        <v>17500000</v>
      </c>
      <c r="AD173" s="49">
        <v>750000</v>
      </c>
      <c r="AE173" s="49">
        <v>500000</v>
      </c>
      <c r="AF173" s="49">
        <f t="shared" si="41"/>
        <v>17750000</v>
      </c>
    </row>
    <row r="174" spans="1:32">
      <c r="A174" s="52">
        <v>20230401</v>
      </c>
      <c r="B174" s="52">
        <v>20231130</v>
      </c>
      <c r="C174" s="52" t="s">
        <v>94</v>
      </c>
      <c r="D174" s="52" t="s">
        <v>178</v>
      </c>
      <c r="E174" s="52" t="s">
        <v>248</v>
      </c>
      <c r="F174" s="52">
        <v>90</v>
      </c>
      <c r="G174" s="52" t="s">
        <v>107</v>
      </c>
      <c r="H174" s="52"/>
      <c r="I174" s="52"/>
      <c r="J174" s="52"/>
      <c r="K174" s="52"/>
      <c r="L174" s="52" t="s">
        <v>164</v>
      </c>
      <c r="M174" s="52" t="s">
        <v>165</v>
      </c>
      <c r="N174" s="52"/>
      <c r="O174" s="52"/>
      <c r="P174" s="52" t="s">
        <v>164</v>
      </c>
      <c r="Q174" s="52" t="s">
        <v>165</v>
      </c>
      <c r="R174" s="52" t="s">
        <v>173</v>
      </c>
      <c r="S174" s="52" t="s">
        <v>174</v>
      </c>
      <c r="T174" s="52">
        <v>110902</v>
      </c>
      <c r="U174" s="52" t="s">
        <v>101</v>
      </c>
      <c r="V174" s="52" t="s">
        <v>97</v>
      </c>
      <c r="W174" s="52" t="s">
        <v>98</v>
      </c>
      <c r="X174" s="52" t="s">
        <v>132</v>
      </c>
      <c r="Y174" s="52" t="s">
        <v>133</v>
      </c>
      <c r="Z174" s="53">
        <v>10002</v>
      </c>
      <c r="AA174" s="52" t="s">
        <v>103</v>
      </c>
      <c r="AB174" s="52"/>
      <c r="AC174" s="52">
        <v>20000000</v>
      </c>
      <c r="AD174" s="52">
        <v>500000</v>
      </c>
      <c r="AE174" s="52">
        <v>1750000</v>
      </c>
      <c r="AF174" s="52">
        <f t="shared" si="41"/>
        <v>18750000</v>
      </c>
    </row>
    <row r="175" spans="1:32">
      <c r="A175" s="49">
        <v>20230401</v>
      </c>
      <c r="B175" s="49">
        <v>20231130</v>
      </c>
      <c r="C175" s="49" t="s">
        <v>94</v>
      </c>
      <c r="D175" s="49" t="s">
        <v>178</v>
      </c>
      <c r="E175" s="49" t="s">
        <v>248</v>
      </c>
      <c r="F175" s="49">
        <v>90</v>
      </c>
      <c r="G175" s="49" t="s">
        <v>107</v>
      </c>
      <c r="H175" s="49"/>
      <c r="I175" s="49"/>
      <c r="J175" s="49"/>
      <c r="K175" s="49"/>
      <c r="L175" s="49" t="s">
        <v>164</v>
      </c>
      <c r="M175" s="49" t="s">
        <v>165</v>
      </c>
      <c r="N175" s="49"/>
      <c r="O175" s="49"/>
      <c r="P175" s="49" t="s">
        <v>175</v>
      </c>
      <c r="Q175" s="49" t="s">
        <v>176</v>
      </c>
      <c r="R175" s="49" t="s">
        <v>169</v>
      </c>
      <c r="S175" s="49" t="s">
        <v>177</v>
      </c>
      <c r="T175" s="49">
        <v>110501</v>
      </c>
      <c r="U175" s="49" t="s">
        <v>154</v>
      </c>
      <c r="V175" s="49" t="s">
        <v>96</v>
      </c>
      <c r="W175" s="49"/>
      <c r="X175" s="49"/>
      <c r="Y175" s="49"/>
      <c r="Z175" s="50"/>
      <c r="AA175" s="49"/>
      <c r="AB175" s="49"/>
      <c r="AC175" s="49">
        <v>5000000</v>
      </c>
      <c r="AD175" s="49">
        <v>2000000</v>
      </c>
      <c r="AE175" s="49">
        <v>1750000</v>
      </c>
      <c r="AF175" s="49">
        <f t="shared" si="41"/>
        <v>5250000</v>
      </c>
    </row>
    <row r="176" spans="1:32">
      <c r="A176" s="52">
        <v>20230401</v>
      </c>
      <c r="B176" s="52">
        <v>20231130</v>
      </c>
      <c r="C176" s="52" t="s">
        <v>94</v>
      </c>
      <c r="D176" s="52" t="s">
        <v>178</v>
      </c>
      <c r="E176" s="52" t="s">
        <v>248</v>
      </c>
      <c r="F176" s="52">
        <v>90</v>
      </c>
      <c r="G176" s="52" t="s">
        <v>107</v>
      </c>
      <c r="H176" s="52"/>
      <c r="I176" s="52"/>
      <c r="J176" s="52"/>
      <c r="K176" s="52"/>
      <c r="L176" s="52" t="s">
        <v>164</v>
      </c>
      <c r="M176" s="52" t="s">
        <v>165</v>
      </c>
      <c r="N176" s="52"/>
      <c r="O176" s="52"/>
      <c r="P176" s="52" t="s">
        <v>175</v>
      </c>
      <c r="Q176" s="52" t="s">
        <v>176</v>
      </c>
      <c r="R176" s="52" t="s">
        <v>169</v>
      </c>
      <c r="S176" s="52" t="s">
        <v>177</v>
      </c>
      <c r="T176" s="52">
        <v>110501</v>
      </c>
      <c r="U176" s="52" t="s">
        <v>154</v>
      </c>
      <c r="V176" s="52" t="s">
        <v>96</v>
      </c>
      <c r="W176" s="52"/>
      <c r="X176" s="52" t="s">
        <v>132</v>
      </c>
      <c r="Y176" s="52" t="s">
        <v>133</v>
      </c>
      <c r="Z176" s="53"/>
      <c r="AA176" s="52"/>
      <c r="AB176" s="52"/>
      <c r="AC176" s="52">
        <v>7500000</v>
      </c>
      <c r="AD176" s="52">
        <v>1750000</v>
      </c>
      <c r="AE176" s="52">
        <v>1500000</v>
      </c>
      <c r="AF176" s="52">
        <f t="shared" ref="AF176:AF178" si="42">AD176-AE176+AC176</f>
        <v>7750000</v>
      </c>
    </row>
    <row r="177" spans="1:32">
      <c r="A177" s="49">
        <v>20230401</v>
      </c>
      <c r="B177" s="49">
        <v>20231130</v>
      </c>
      <c r="C177" s="49" t="s">
        <v>94</v>
      </c>
      <c r="D177" s="49" t="s">
        <v>178</v>
      </c>
      <c r="E177" s="49" t="s">
        <v>248</v>
      </c>
      <c r="F177" s="49">
        <v>90</v>
      </c>
      <c r="G177" s="49" t="s">
        <v>107</v>
      </c>
      <c r="H177" s="49"/>
      <c r="I177" s="49"/>
      <c r="J177" s="49"/>
      <c r="K177" s="49"/>
      <c r="L177" s="49" t="s">
        <v>164</v>
      </c>
      <c r="M177" s="49" t="s">
        <v>165</v>
      </c>
      <c r="N177" s="49"/>
      <c r="O177" s="49"/>
      <c r="P177" s="49" t="s">
        <v>175</v>
      </c>
      <c r="Q177" s="49" t="s">
        <v>176</v>
      </c>
      <c r="R177" s="49" t="s">
        <v>169</v>
      </c>
      <c r="S177" s="49" t="s">
        <v>177</v>
      </c>
      <c r="T177" s="49">
        <v>110901</v>
      </c>
      <c r="U177" s="49" t="s">
        <v>95</v>
      </c>
      <c r="V177" s="49" t="s">
        <v>97</v>
      </c>
      <c r="W177" s="49" t="s">
        <v>98</v>
      </c>
      <c r="X177" s="49"/>
      <c r="Y177" s="49"/>
      <c r="Z177" s="50"/>
      <c r="AA177" s="49"/>
      <c r="AB177" s="49"/>
      <c r="AC177" s="49">
        <v>5000000</v>
      </c>
      <c r="AD177" s="49">
        <v>2000000</v>
      </c>
      <c r="AE177" s="49">
        <v>1750000</v>
      </c>
      <c r="AF177" s="49">
        <f t="shared" si="42"/>
        <v>5250000</v>
      </c>
    </row>
    <row r="178" spans="1:32">
      <c r="A178" s="52">
        <v>20230401</v>
      </c>
      <c r="B178" s="52">
        <v>20231130</v>
      </c>
      <c r="C178" s="52" t="s">
        <v>94</v>
      </c>
      <c r="D178" s="52" t="s">
        <v>178</v>
      </c>
      <c r="E178" s="52" t="s">
        <v>248</v>
      </c>
      <c r="F178" s="52">
        <v>90</v>
      </c>
      <c r="G178" s="52" t="s">
        <v>107</v>
      </c>
      <c r="H178" s="52"/>
      <c r="I178" s="52"/>
      <c r="J178" s="52"/>
      <c r="K178" s="52"/>
      <c r="L178" s="52" t="s">
        <v>164</v>
      </c>
      <c r="M178" s="52" t="s">
        <v>165</v>
      </c>
      <c r="N178" s="52"/>
      <c r="O178" s="52"/>
      <c r="P178" s="52" t="s">
        <v>175</v>
      </c>
      <c r="Q178" s="52" t="s">
        <v>176</v>
      </c>
      <c r="R178" s="52" t="s">
        <v>169</v>
      </c>
      <c r="S178" s="52" t="s">
        <v>177</v>
      </c>
      <c r="T178" s="52">
        <v>110901</v>
      </c>
      <c r="U178" s="52" t="s">
        <v>95</v>
      </c>
      <c r="V178" s="52" t="s">
        <v>97</v>
      </c>
      <c r="W178" s="52" t="s">
        <v>98</v>
      </c>
      <c r="X178" s="52" t="s">
        <v>132</v>
      </c>
      <c r="Y178" s="52" t="s">
        <v>133</v>
      </c>
      <c r="Z178" s="53"/>
      <c r="AA178" s="52"/>
      <c r="AB178" s="52"/>
      <c r="AC178" s="52">
        <v>7500000</v>
      </c>
      <c r="AD178" s="52">
        <v>1750000</v>
      </c>
      <c r="AE178" s="52">
        <v>1500000</v>
      </c>
      <c r="AF178" s="52">
        <f t="shared" si="42"/>
        <v>7750000</v>
      </c>
    </row>
    <row r="179" spans="1:32">
      <c r="A179" s="49">
        <v>20230401</v>
      </c>
      <c r="B179" s="49">
        <v>20231130</v>
      </c>
      <c r="C179" s="49" t="s">
        <v>94</v>
      </c>
      <c r="D179" s="49" t="s">
        <v>178</v>
      </c>
      <c r="E179" s="49" t="s">
        <v>248</v>
      </c>
      <c r="F179" s="49">
        <v>90</v>
      </c>
      <c r="G179" s="49" t="s">
        <v>107</v>
      </c>
      <c r="H179" s="49"/>
      <c r="I179" s="49"/>
      <c r="J179" s="49"/>
      <c r="K179" s="49"/>
      <c r="L179" s="49" t="s">
        <v>164</v>
      </c>
      <c r="M179" s="49" t="s">
        <v>165</v>
      </c>
      <c r="N179" s="49"/>
      <c r="O179" s="49"/>
      <c r="P179" s="49" t="s">
        <v>175</v>
      </c>
      <c r="Q179" s="49" t="s">
        <v>176</v>
      </c>
      <c r="R179" s="49" t="s">
        <v>169</v>
      </c>
      <c r="S179" s="49" t="s">
        <v>177</v>
      </c>
      <c r="T179" s="49">
        <v>110901</v>
      </c>
      <c r="U179" s="49" t="s">
        <v>95</v>
      </c>
      <c r="V179" s="49" t="s">
        <v>97</v>
      </c>
      <c r="W179" s="49" t="s">
        <v>98</v>
      </c>
      <c r="X179" s="49" t="s">
        <v>132</v>
      </c>
      <c r="Y179" s="49" t="s">
        <v>133</v>
      </c>
      <c r="Z179" s="50" t="s">
        <v>99</v>
      </c>
      <c r="AA179" s="49" t="s">
        <v>100</v>
      </c>
      <c r="AB179" s="49"/>
      <c r="AC179" s="49">
        <v>10000000</v>
      </c>
      <c r="AD179" s="49"/>
      <c r="AE179" s="49">
        <v>10000000</v>
      </c>
      <c r="AF179" s="49"/>
    </row>
    <row r="180" spans="1:32">
      <c r="A180" s="52">
        <v>20230401</v>
      </c>
      <c r="B180" s="52">
        <v>20231130</v>
      </c>
      <c r="C180" s="52" t="s">
        <v>94</v>
      </c>
      <c r="D180" s="52" t="s">
        <v>178</v>
      </c>
      <c r="E180" s="52" t="s">
        <v>248</v>
      </c>
      <c r="F180" s="52">
        <v>90</v>
      </c>
      <c r="G180" s="52" t="s">
        <v>107</v>
      </c>
      <c r="H180" s="52"/>
      <c r="I180" s="52"/>
      <c r="J180" s="52"/>
      <c r="K180" s="52"/>
      <c r="L180" s="52" t="s">
        <v>164</v>
      </c>
      <c r="M180" s="52" t="s">
        <v>165</v>
      </c>
      <c r="N180" s="52"/>
      <c r="O180" s="52"/>
      <c r="P180" s="52" t="s">
        <v>175</v>
      </c>
      <c r="Q180" s="52" t="s">
        <v>176</v>
      </c>
      <c r="R180" s="52" t="s">
        <v>169</v>
      </c>
      <c r="S180" s="52" t="s">
        <v>177</v>
      </c>
      <c r="T180" s="52">
        <v>110901</v>
      </c>
      <c r="U180" s="52" t="s">
        <v>95</v>
      </c>
      <c r="V180" s="52" t="s">
        <v>97</v>
      </c>
      <c r="W180" s="52" t="s">
        <v>98</v>
      </c>
      <c r="X180" s="53">
        <v>300089008</v>
      </c>
      <c r="Y180" s="52" t="s">
        <v>153</v>
      </c>
      <c r="Z180" s="53"/>
      <c r="AA180" s="52"/>
      <c r="AB180" s="52"/>
      <c r="AC180" s="52">
        <v>7500000</v>
      </c>
      <c r="AD180" s="52">
        <v>1750000</v>
      </c>
      <c r="AE180" s="52">
        <v>1500000</v>
      </c>
      <c r="AF180" s="52">
        <f t="shared" ref="AF180:AF184" si="43">AD180-AE180+AC180</f>
        <v>7750000</v>
      </c>
    </row>
    <row r="181" spans="1:32">
      <c r="A181" s="49">
        <v>20230401</v>
      </c>
      <c r="B181" s="49">
        <v>20231130</v>
      </c>
      <c r="C181" s="49" t="s">
        <v>94</v>
      </c>
      <c r="D181" s="49" t="s">
        <v>178</v>
      </c>
      <c r="E181" s="49" t="s">
        <v>248</v>
      </c>
      <c r="F181" s="49">
        <v>90</v>
      </c>
      <c r="G181" s="49" t="s">
        <v>107</v>
      </c>
      <c r="H181" s="49"/>
      <c r="I181" s="49"/>
      <c r="J181" s="49"/>
      <c r="K181" s="49"/>
      <c r="L181" s="49" t="s">
        <v>164</v>
      </c>
      <c r="M181" s="49" t="s">
        <v>165</v>
      </c>
      <c r="N181" s="49"/>
      <c r="O181" s="49"/>
      <c r="P181" s="49" t="s">
        <v>175</v>
      </c>
      <c r="Q181" s="49" t="s">
        <v>176</v>
      </c>
      <c r="R181" s="49" t="s">
        <v>169</v>
      </c>
      <c r="S181" s="49" t="s">
        <v>177</v>
      </c>
      <c r="T181" s="49">
        <v>110901</v>
      </c>
      <c r="U181" s="49" t="s">
        <v>95</v>
      </c>
      <c r="V181" s="49" t="s">
        <v>97</v>
      </c>
      <c r="W181" s="49" t="s">
        <v>98</v>
      </c>
      <c r="X181" s="50">
        <v>300089008</v>
      </c>
      <c r="Y181" s="49" t="s">
        <v>153</v>
      </c>
      <c r="Z181" s="50" t="s">
        <v>99</v>
      </c>
      <c r="AA181" s="49" t="s">
        <v>100</v>
      </c>
      <c r="AB181" s="49"/>
      <c r="AC181" s="49">
        <v>250000</v>
      </c>
      <c r="AD181" s="49">
        <v>500000</v>
      </c>
      <c r="AE181" s="49">
        <v>1000000</v>
      </c>
      <c r="AF181" s="49">
        <f t="shared" si="43"/>
        <v>-250000</v>
      </c>
    </row>
    <row r="182" spans="1:32">
      <c r="A182" s="52">
        <v>20230401</v>
      </c>
      <c r="B182" s="52">
        <v>20231130</v>
      </c>
      <c r="C182" s="52" t="s">
        <v>94</v>
      </c>
      <c r="D182" s="52" t="s">
        <v>178</v>
      </c>
      <c r="E182" s="52" t="s">
        <v>248</v>
      </c>
      <c r="F182" s="52">
        <v>90</v>
      </c>
      <c r="G182" s="52" t="s">
        <v>107</v>
      </c>
      <c r="H182" s="52"/>
      <c r="I182" s="52"/>
      <c r="J182" s="52"/>
      <c r="K182" s="52"/>
      <c r="L182" s="52" t="s">
        <v>164</v>
      </c>
      <c r="M182" s="52" t="s">
        <v>165</v>
      </c>
      <c r="N182" s="52"/>
      <c r="O182" s="52"/>
      <c r="P182" s="52" t="s">
        <v>175</v>
      </c>
      <c r="Q182" s="52" t="s">
        <v>176</v>
      </c>
      <c r="R182" s="52" t="s">
        <v>169</v>
      </c>
      <c r="S182" s="52" t="s">
        <v>177</v>
      </c>
      <c r="T182" s="52">
        <v>110902</v>
      </c>
      <c r="U182" s="52" t="s">
        <v>101</v>
      </c>
      <c r="V182" s="52" t="s">
        <v>97</v>
      </c>
      <c r="W182" s="52" t="s">
        <v>98</v>
      </c>
      <c r="X182" s="52"/>
      <c r="Y182" s="52"/>
      <c r="Z182" s="53"/>
      <c r="AA182" s="52"/>
      <c r="AB182" s="52"/>
      <c r="AC182" s="52">
        <v>15000000</v>
      </c>
      <c r="AD182" s="52">
        <v>1000000</v>
      </c>
      <c r="AE182" s="52">
        <v>750000</v>
      </c>
      <c r="AF182" s="52">
        <f t="shared" si="43"/>
        <v>15250000</v>
      </c>
    </row>
    <row r="183" spans="1:32">
      <c r="A183" s="49">
        <v>20230401</v>
      </c>
      <c r="B183" s="49">
        <v>20231130</v>
      </c>
      <c r="C183" s="49" t="s">
        <v>94</v>
      </c>
      <c r="D183" s="49" t="s">
        <v>178</v>
      </c>
      <c r="E183" s="49" t="s">
        <v>248</v>
      </c>
      <c r="F183" s="49">
        <v>90</v>
      </c>
      <c r="G183" s="49" t="s">
        <v>107</v>
      </c>
      <c r="H183" s="49"/>
      <c r="I183" s="49"/>
      <c r="J183" s="49"/>
      <c r="K183" s="49"/>
      <c r="L183" s="49" t="s">
        <v>164</v>
      </c>
      <c r="M183" s="49" t="s">
        <v>165</v>
      </c>
      <c r="N183" s="49"/>
      <c r="O183" s="49"/>
      <c r="P183" s="49" t="s">
        <v>175</v>
      </c>
      <c r="Q183" s="49" t="s">
        <v>176</v>
      </c>
      <c r="R183" s="49" t="s">
        <v>169</v>
      </c>
      <c r="S183" s="49" t="s">
        <v>177</v>
      </c>
      <c r="T183" s="49">
        <v>110902</v>
      </c>
      <c r="U183" s="49" t="s">
        <v>101</v>
      </c>
      <c r="V183" s="49" t="s">
        <v>97</v>
      </c>
      <c r="W183" s="49" t="s">
        <v>98</v>
      </c>
      <c r="X183" s="49" t="s">
        <v>132</v>
      </c>
      <c r="Y183" s="49" t="s">
        <v>133</v>
      </c>
      <c r="Z183" s="50"/>
      <c r="AA183" s="49"/>
      <c r="AB183" s="49"/>
      <c r="AC183" s="49">
        <v>17500000</v>
      </c>
      <c r="AD183" s="49">
        <v>750000</v>
      </c>
      <c r="AE183" s="49">
        <v>500000</v>
      </c>
      <c r="AF183" s="49">
        <f t="shared" si="43"/>
        <v>17750000</v>
      </c>
    </row>
    <row r="184" spans="1:32">
      <c r="A184" s="52">
        <v>20230401</v>
      </c>
      <c r="B184" s="52">
        <v>20231130</v>
      </c>
      <c r="C184" s="52" t="s">
        <v>94</v>
      </c>
      <c r="D184" s="52" t="s">
        <v>178</v>
      </c>
      <c r="E184" s="52" t="s">
        <v>248</v>
      </c>
      <c r="F184" s="52">
        <v>90</v>
      </c>
      <c r="G184" s="52" t="s">
        <v>107</v>
      </c>
      <c r="H184" s="52"/>
      <c r="I184" s="52"/>
      <c r="J184" s="52"/>
      <c r="K184" s="52"/>
      <c r="L184" s="52" t="s">
        <v>164</v>
      </c>
      <c r="M184" s="52" t="s">
        <v>165</v>
      </c>
      <c r="N184" s="52"/>
      <c r="O184" s="52"/>
      <c r="P184" s="52" t="s">
        <v>175</v>
      </c>
      <c r="Q184" s="52" t="s">
        <v>176</v>
      </c>
      <c r="R184" s="52" t="s">
        <v>169</v>
      </c>
      <c r="S184" s="52" t="s">
        <v>177</v>
      </c>
      <c r="T184" s="52">
        <v>110902</v>
      </c>
      <c r="U184" s="52" t="s">
        <v>101</v>
      </c>
      <c r="V184" s="52" t="s">
        <v>97</v>
      </c>
      <c r="W184" s="52" t="s">
        <v>98</v>
      </c>
      <c r="X184" s="52" t="s">
        <v>132</v>
      </c>
      <c r="Y184" s="52" t="s">
        <v>133</v>
      </c>
      <c r="Z184" s="53">
        <v>10002</v>
      </c>
      <c r="AA184" s="52" t="s">
        <v>103</v>
      </c>
      <c r="AB184" s="52"/>
      <c r="AC184" s="52">
        <v>20000000</v>
      </c>
      <c r="AD184" s="52">
        <v>500000</v>
      </c>
      <c r="AE184" s="52">
        <v>1750000</v>
      </c>
      <c r="AF184" s="52">
        <f t="shared" si="43"/>
        <v>18750000</v>
      </c>
    </row>
    <row r="185" spans="1:32">
      <c r="A185" s="49">
        <v>20230401</v>
      </c>
      <c r="B185" s="49">
        <v>20231130</v>
      </c>
      <c r="C185" s="49" t="s">
        <v>94</v>
      </c>
      <c r="D185" s="49" t="s">
        <v>178</v>
      </c>
      <c r="E185" s="49" t="s">
        <v>248</v>
      </c>
      <c r="F185" s="49">
        <v>90</v>
      </c>
      <c r="G185" s="49" t="s">
        <v>107</v>
      </c>
      <c r="H185" s="49"/>
      <c r="I185" s="49"/>
      <c r="J185" s="49"/>
      <c r="K185" s="49"/>
      <c r="L185" s="49" t="s">
        <v>164</v>
      </c>
      <c r="M185" s="49" t="s">
        <v>165</v>
      </c>
      <c r="N185" s="49"/>
      <c r="O185" s="49"/>
      <c r="P185" s="49" t="s">
        <v>171</v>
      </c>
      <c r="Q185" s="49" t="s">
        <v>172</v>
      </c>
      <c r="R185" s="49" t="s">
        <v>173</v>
      </c>
      <c r="S185" s="49" t="s">
        <v>174</v>
      </c>
      <c r="T185" s="49">
        <v>110501</v>
      </c>
      <c r="U185" s="49" t="s">
        <v>154</v>
      </c>
      <c r="V185" s="49" t="s">
        <v>96</v>
      </c>
      <c r="W185" s="49"/>
      <c r="X185" s="49"/>
      <c r="Y185" s="49"/>
      <c r="Z185" s="50"/>
      <c r="AA185" s="49"/>
      <c r="AB185" s="49"/>
      <c r="AC185" s="49">
        <v>5000000</v>
      </c>
      <c r="AD185" s="49">
        <v>2000000</v>
      </c>
      <c r="AE185" s="49">
        <v>1750000</v>
      </c>
      <c r="AF185" s="49">
        <f>AD185-AE185+AC185</f>
        <v>5250000</v>
      </c>
    </row>
    <row r="186" spans="1:32">
      <c r="A186" s="52">
        <v>20230401</v>
      </c>
      <c r="B186" s="52">
        <v>20231130</v>
      </c>
      <c r="C186" s="52" t="s">
        <v>94</v>
      </c>
      <c r="D186" s="52" t="s">
        <v>178</v>
      </c>
      <c r="E186" s="52" t="s">
        <v>248</v>
      </c>
      <c r="F186" s="52">
        <v>90</v>
      </c>
      <c r="G186" s="52" t="s">
        <v>107</v>
      </c>
      <c r="H186" s="52"/>
      <c r="I186" s="52"/>
      <c r="J186" s="52"/>
      <c r="K186" s="52"/>
      <c r="L186" s="52" t="s">
        <v>164</v>
      </c>
      <c r="M186" s="52" t="s">
        <v>165</v>
      </c>
      <c r="N186" s="52"/>
      <c r="O186" s="52"/>
      <c r="P186" s="52" t="s">
        <v>171</v>
      </c>
      <c r="Q186" s="52" t="s">
        <v>172</v>
      </c>
      <c r="R186" s="52" t="s">
        <v>173</v>
      </c>
      <c r="S186" s="52" t="s">
        <v>174</v>
      </c>
      <c r="T186" s="52">
        <v>110501</v>
      </c>
      <c r="U186" s="52" t="s">
        <v>154</v>
      </c>
      <c r="V186" s="52" t="s">
        <v>96</v>
      </c>
      <c r="W186" s="52"/>
      <c r="X186" s="52" t="s">
        <v>132</v>
      </c>
      <c r="Y186" s="52" t="s">
        <v>133</v>
      </c>
      <c r="Z186" s="53"/>
      <c r="AA186" s="52"/>
      <c r="AB186" s="52"/>
      <c r="AC186" s="52">
        <v>7500000</v>
      </c>
      <c r="AD186" s="52">
        <v>1750000</v>
      </c>
      <c r="AE186" s="52">
        <v>1500000</v>
      </c>
      <c r="AF186" s="52">
        <f t="shared" ref="AF186:AF188" si="44">AD186-AE186+AC186</f>
        <v>7750000</v>
      </c>
    </row>
    <row r="187" spans="1:32">
      <c r="A187" s="49">
        <v>20230401</v>
      </c>
      <c r="B187" s="49">
        <v>20231130</v>
      </c>
      <c r="C187" s="49" t="s">
        <v>94</v>
      </c>
      <c r="D187" s="49" t="s">
        <v>178</v>
      </c>
      <c r="E187" s="49" t="s">
        <v>248</v>
      </c>
      <c r="F187" s="49">
        <v>90</v>
      </c>
      <c r="G187" s="49" t="s">
        <v>107</v>
      </c>
      <c r="H187" s="49"/>
      <c r="I187" s="49"/>
      <c r="J187" s="49"/>
      <c r="K187" s="49"/>
      <c r="L187" s="49" t="s">
        <v>164</v>
      </c>
      <c r="M187" s="49" t="s">
        <v>165</v>
      </c>
      <c r="N187" s="49"/>
      <c r="O187" s="49"/>
      <c r="P187" s="49" t="s">
        <v>171</v>
      </c>
      <c r="Q187" s="49" t="s">
        <v>172</v>
      </c>
      <c r="R187" s="49" t="s">
        <v>173</v>
      </c>
      <c r="S187" s="49" t="s">
        <v>174</v>
      </c>
      <c r="T187" s="49">
        <v>110901</v>
      </c>
      <c r="U187" s="49" t="s">
        <v>95</v>
      </c>
      <c r="V187" s="49" t="s">
        <v>97</v>
      </c>
      <c r="W187" s="49" t="s">
        <v>98</v>
      </c>
      <c r="X187" s="49"/>
      <c r="Y187" s="49"/>
      <c r="Z187" s="50"/>
      <c r="AA187" s="49"/>
      <c r="AB187" s="49"/>
      <c r="AC187" s="49">
        <v>5000000</v>
      </c>
      <c r="AD187" s="49">
        <v>2000000</v>
      </c>
      <c r="AE187" s="49">
        <v>1750000</v>
      </c>
      <c r="AF187" s="49">
        <f t="shared" si="44"/>
        <v>5250000</v>
      </c>
    </row>
    <row r="188" spans="1:32">
      <c r="A188" s="52">
        <v>20230401</v>
      </c>
      <c r="B188" s="52">
        <v>20231130</v>
      </c>
      <c r="C188" s="52" t="s">
        <v>94</v>
      </c>
      <c r="D188" s="52" t="s">
        <v>178</v>
      </c>
      <c r="E188" s="52" t="s">
        <v>248</v>
      </c>
      <c r="F188" s="52">
        <v>90</v>
      </c>
      <c r="G188" s="52" t="s">
        <v>107</v>
      </c>
      <c r="H188" s="52"/>
      <c r="I188" s="52"/>
      <c r="J188" s="52"/>
      <c r="K188" s="52"/>
      <c r="L188" s="52" t="s">
        <v>164</v>
      </c>
      <c r="M188" s="52" t="s">
        <v>165</v>
      </c>
      <c r="N188" s="52"/>
      <c r="O188" s="52"/>
      <c r="P188" s="52" t="s">
        <v>171</v>
      </c>
      <c r="Q188" s="52" t="s">
        <v>172</v>
      </c>
      <c r="R188" s="52" t="s">
        <v>173</v>
      </c>
      <c r="S188" s="52" t="s">
        <v>174</v>
      </c>
      <c r="T188" s="52">
        <v>110901</v>
      </c>
      <c r="U188" s="52" t="s">
        <v>95</v>
      </c>
      <c r="V188" s="52" t="s">
        <v>97</v>
      </c>
      <c r="W188" s="52" t="s">
        <v>98</v>
      </c>
      <c r="X188" s="52" t="s">
        <v>132</v>
      </c>
      <c r="Y188" s="52" t="s">
        <v>133</v>
      </c>
      <c r="Z188" s="53"/>
      <c r="AA188" s="52"/>
      <c r="AB188" s="52"/>
      <c r="AC188" s="52">
        <v>7500000</v>
      </c>
      <c r="AD188" s="52">
        <v>1750000</v>
      </c>
      <c r="AE188" s="52">
        <v>1500000</v>
      </c>
      <c r="AF188" s="52">
        <f t="shared" si="44"/>
        <v>7750000</v>
      </c>
    </row>
    <row r="189" spans="1:32">
      <c r="A189" s="49">
        <v>20230401</v>
      </c>
      <c r="B189" s="49">
        <v>20231130</v>
      </c>
      <c r="C189" s="49" t="s">
        <v>94</v>
      </c>
      <c r="D189" s="49" t="s">
        <v>178</v>
      </c>
      <c r="E189" s="49" t="s">
        <v>248</v>
      </c>
      <c r="F189" s="49">
        <v>90</v>
      </c>
      <c r="G189" s="49" t="s">
        <v>107</v>
      </c>
      <c r="H189" s="49"/>
      <c r="I189" s="49"/>
      <c r="J189" s="49"/>
      <c r="K189" s="49"/>
      <c r="L189" s="49" t="s">
        <v>164</v>
      </c>
      <c r="M189" s="49" t="s">
        <v>165</v>
      </c>
      <c r="N189" s="49"/>
      <c r="O189" s="49"/>
      <c r="P189" s="49" t="s">
        <v>171</v>
      </c>
      <c r="Q189" s="49" t="s">
        <v>172</v>
      </c>
      <c r="R189" s="49" t="s">
        <v>173</v>
      </c>
      <c r="S189" s="49" t="s">
        <v>174</v>
      </c>
      <c r="T189" s="49">
        <v>110901</v>
      </c>
      <c r="U189" s="49" t="s">
        <v>95</v>
      </c>
      <c r="V189" s="49" t="s">
        <v>97</v>
      </c>
      <c r="W189" s="49" t="s">
        <v>98</v>
      </c>
      <c r="X189" s="49" t="s">
        <v>132</v>
      </c>
      <c r="Y189" s="49" t="s">
        <v>133</v>
      </c>
      <c r="Z189" s="50" t="s">
        <v>99</v>
      </c>
      <c r="AA189" s="49" t="s">
        <v>100</v>
      </c>
      <c r="AB189" s="49"/>
      <c r="AC189" s="49">
        <v>10000000</v>
      </c>
      <c r="AD189" s="49"/>
      <c r="AE189" s="49">
        <v>10000000</v>
      </c>
      <c r="AF189" s="49"/>
    </row>
    <row r="190" spans="1:32">
      <c r="A190" s="52">
        <v>20230401</v>
      </c>
      <c r="B190" s="52">
        <v>20231130</v>
      </c>
      <c r="C190" s="52" t="s">
        <v>94</v>
      </c>
      <c r="D190" s="52" t="s">
        <v>178</v>
      </c>
      <c r="E190" s="52" t="s">
        <v>248</v>
      </c>
      <c r="F190" s="52">
        <v>90</v>
      </c>
      <c r="G190" s="52" t="s">
        <v>107</v>
      </c>
      <c r="H190" s="52"/>
      <c r="I190" s="52"/>
      <c r="J190" s="52"/>
      <c r="K190" s="52"/>
      <c r="L190" s="52" t="s">
        <v>164</v>
      </c>
      <c r="M190" s="52" t="s">
        <v>165</v>
      </c>
      <c r="N190" s="52"/>
      <c r="O190" s="52"/>
      <c r="P190" s="52" t="s">
        <v>171</v>
      </c>
      <c r="Q190" s="52" t="s">
        <v>172</v>
      </c>
      <c r="R190" s="52" t="s">
        <v>173</v>
      </c>
      <c r="S190" s="52" t="s">
        <v>174</v>
      </c>
      <c r="T190" s="52">
        <v>110901</v>
      </c>
      <c r="U190" s="52" t="s">
        <v>95</v>
      </c>
      <c r="V190" s="52" t="s">
        <v>97</v>
      </c>
      <c r="W190" s="52" t="s">
        <v>98</v>
      </c>
      <c r="X190" s="53">
        <v>300089008</v>
      </c>
      <c r="Y190" s="52" t="s">
        <v>153</v>
      </c>
      <c r="Z190" s="53"/>
      <c r="AA190" s="52"/>
      <c r="AB190" s="52"/>
      <c r="AC190" s="52">
        <v>7500000</v>
      </c>
      <c r="AD190" s="52">
        <v>1750000</v>
      </c>
      <c r="AE190" s="52">
        <v>1500000</v>
      </c>
      <c r="AF190" s="52">
        <f t="shared" ref="AF190:AF194" si="45">AD190-AE190+AC190</f>
        <v>7750000</v>
      </c>
    </row>
    <row r="191" spans="1:32">
      <c r="A191" s="49">
        <v>20230401</v>
      </c>
      <c r="B191" s="49">
        <v>20231130</v>
      </c>
      <c r="C191" s="49" t="s">
        <v>94</v>
      </c>
      <c r="D191" s="49" t="s">
        <v>178</v>
      </c>
      <c r="E191" s="49" t="s">
        <v>248</v>
      </c>
      <c r="F191" s="49">
        <v>90</v>
      </c>
      <c r="G191" s="49" t="s">
        <v>107</v>
      </c>
      <c r="H191" s="49"/>
      <c r="I191" s="49"/>
      <c r="J191" s="49"/>
      <c r="K191" s="49"/>
      <c r="L191" s="49" t="s">
        <v>164</v>
      </c>
      <c r="M191" s="49" t="s">
        <v>165</v>
      </c>
      <c r="N191" s="49"/>
      <c r="O191" s="49"/>
      <c r="P191" s="49" t="s">
        <v>171</v>
      </c>
      <c r="Q191" s="49" t="s">
        <v>172</v>
      </c>
      <c r="R191" s="49" t="s">
        <v>173</v>
      </c>
      <c r="S191" s="49" t="s">
        <v>174</v>
      </c>
      <c r="T191" s="49">
        <v>110901</v>
      </c>
      <c r="U191" s="49" t="s">
        <v>95</v>
      </c>
      <c r="V191" s="49" t="s">
        <v>97</v>
      </c>
      <c r="W191" s="49" t="s">
        <v>98</v>
      </c>
      <c r="X191" s="50">
        <v>300089008</v>
      </c>
      <c r="Y191" s="49" t="s">
        <v>153</v>
      </c>
      <c r="Z191" s="50" t="s">
        <v>99</v>
      </c>
      <c r="AA191" s="49" t="s">
        <v>100</v>
      </c>
      <c r="AB191" s="49"/>
      <c r="AC191" s="49">
        <v>250000</v>
      </c>
      <c r="AD191" s="49">
        <v>500000</v>
      </c>
      <c r="AE191" s="49">
        <v>1000000</v>
      </c>
      <c r="AF191" s="49">
        <f t="shared" si="45"/>
        <v>-250000</v>
      </c>
    </row>
    <row r="192" spans="1:32">
      <c r="A192" s="52">
        <v>20230401</v>
      </c>
      <c r="B192" s="52">
        <v>20231130</v>
      </c>
      <c r="C192" s="52" t="s">
        <v>94</v>
      </c>
      <c r="D192" s="52" t="s">
        <v>178</v>
      </c>
      <c r="E192" s="52" t="s">
        <v>248</v>
      </c>
      <c r="F192" s="52">
        <v>90</v>
      </c>
      <c r="G192" s="52" t="s">
        <v>107</v>
      </c>
      <c r="H192" s="52"/>
      <c r="I192" s="52"/>
      <c r="J192" s="52"/>
      <c r="K192" s="52"/>
      <c r="L192" s="52" t="s">
        <v>164</v>
      </c>
      <c r="M192" s="52" t="s">
        <v>165</v>
      </c>
      <c r="N192" s="52"/>
      <c r="O192" s="52"/>
      <c r="P192" s="52" t="s">
        <v>171</v>
      </c>
      <c r="Q192" s="52" t="s">
        <v>172</v>
      </c>
      <c r="R192" s="52" t="s">
        <v>173</v>
      </c>
      <c r="S192" s="52" t="s">
        <v>174</v>
      </c>
      <c r="T192" s="52">
        <v>110902</v>
      </c>
      <c r="U192" s="52" t="s">
        <v>101</v>
      </c>
      <c r="V192" s="52" t="s">
        <v>97</v>
      </c>
      <c r="W192" s="52" t="s">
        <v>98</v>
      </c>
      <c r="X192" s="52"/>
      <c r="Y192" s="52"/>
      <c r="Z192" s="53"/>
      <c r="AA192" s="52"/>
      <c r="AB192" s="52"/>
      <c r="AC192" s="52">
        <v>15000000</v>
      </c>
      <c r="AD192" s="52">
        <v>1000000</v>
      </c>
      <c r="AE192" s="52">
        <v>750000</v>
      </c>
      <c r="AF192" s="52">
        <f t="shared" si="45"/>
        <v>15250000</v>
      </c>
    </row>
    <row r="193" spans="1:32">
      <c r="A193" s="49">
        <v>20230401</v>
      </c>
      <c r="B193" s="49">
        <v>20231130</v>
      </c>
      <c r="C193" s="49" t="s">
        <v>94</v>
      </c>
      <c r="D193" s="49" t="s">
        <v>178</v>
      </c>
      <c r="E193" s="49" t="s">
        <v>248</v>
      </c>
      <c r="F193" s="49">
        <v>90</v>
      </c>
      <c r="G193" s="49" t="s">
        <v>107</v>
      </c>
      <c r="H193" s="49"/>
      <c r="I193" s="49"/>
      <c r="J193" s="49"/>
      <c r="K193" s="49"/>
      <c r="L193" s="49" t="s">
        <v>164</v>
      </c>
      <c r="M193" s="49" t="s">
        <v>165</v>
      </c>
      <c r="N193" s="49"/>
      <c r="O193" s="49"/>
      <c r="P193" s="49" t="s">
        <v>171</v>
      </c>
      <c r="Q193" s="49" t="s">
        <v>172</v>
      </c>
      <c r="R193" s="49" t="s">
        <v>173</v>
      </c>
      <c r="S193" s="49" t="s">
        <v>174</v>
      </c>
      <c r="T193" s="49">
        <v>110902</v>
      </c>
      <c r="U193" s="49" t="s">
        <v>101</v>
      </c>
      <c r="V193" s="49" t="s">
        <v>97</v>
      </c>
      <c r="W193" s="49" t="s">
        <v>98</v>
      </c>
      <c r="X193" s="49" t="s">
        <v>132</v>
      </c>
      <c r="Y193" s="49" t="s">
        <v>133</v>
      </c>
      <c r="Z193" s="50"/>
      <c r="AA193" s="49"/>
      <c r="AB193" s="49"/>
      <c r="AC193" s="49">
        <v>17500000</v>
      </c>
      <c r="AD193" s="49">
        <v>750000</v>
      </c>
      <c r="AE193" s="49">
        <v>500000</v>
      </c>
      <c r="AF193" s="49">
        <f t="shared" si="45"/>
        <v>17750000</v>
      </c>
    </row>
    <row r="194" spans="1:32">
      <c r="A194" s="52">
        <v>20230401</v>
      </c>
      <c r="B194" s="52">
        <v>20231130</v>
      </c>
      <c r="C194" s="52" t="s">
        <v>94</v>
      </c>
      <c r="D194" s="52" t="s">
        <v>178</v>
      </c>
      <c r="E194" s="52" t="s">
        <v>248</v>
      </c>
      <c r="F194" s="52">
        <v>90</v>
      </c>
      <c r="G194" s="52" t="s">
        <v>107</v>
      </c>
      <c r="H194" s="52"/>
      <c r="I194" s="52"/>
      <c r="J194" s="52"/>
      <c r="K194" s="52"/>
      <c r="L194" s="52" t="s">
        <v>164</v>
      </c>
      <c r="M194" s="52" t="s">
        <v>165</v>
      </c>
      <c r="N194" s="52"/>
      <c r="O194" s="52"/>
      <c r="P194" s="52" t="s">
        <v>171</v>
      </c>
      <c r="Q194" s="52" t="s">
        <v>172</v>
      </c>
      <c r="R194" s="52" t="s">
        <v>173</v>
      </c>
      <c r="S194" s="52" t="s">
        <v>174</v>
      </c>
      <c r="T194" s="52">
        <v>110902</v>
      </c>
      <c r="U194" s="52" t="s">
        <v>101</v>
      </c>
      <c r="V194" s="52" t="s">
        <v>97</v>
      </c>
      <c r="W194" s="52" t="s">
        <v>98</v>
      </c>
      <c r="X194" s="52" t="s">
        <v>132</v>
      </c>
      <c r="Y194" s="52" t="s">
        <v>133</v>
      </c>
      <c r="Z194" s="53">
        <v>10002</v>
      </c>
      <c r="AA194" s="52" t="s">
        <v>103</v>
      </c>
      <c r="AB194" s="52"/>
      <c r="AC194" s="52">
        <v>20000000</v>
      </c>
      <c r="AD194" s="52">
        <v>500000</v>
      </c>
      <c r="AE194" s="52">
        <v>1750000</v>
      </c>
      <c r="AF194" s="52">
        <f t="shared" si="45"/>
        <v>18750000</v>
      </c>
    </row>
  </sheetData>
  <phoneticPr fontId="1"/>
  <pageMargins left="0.7" right="0.7" top="0.75" bottom="0.75" header="0.3" footer="0.3"/>
  <pageSetup paperSize="9" scale="3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6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1" t="s">
        <v>38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39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3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242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241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3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41" t="s">
        <v>16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214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5" t="s">
        <v>20</v>
      </c>
      <c r="B8" s="66"/>
      <c r="C8" s="67"/>
      <c r="D8" s="65" t="s">
        <v>40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  <c r="R8" s="168" t="s">
        <v>41</v>
      </c>
      <c r="S8" s="169"/>
      <c r="T8" s="169"/>
      <c r="U8" s="170"/>
      <c r="V8" s="168" t="s">
        <v>42</v>
      </c>
      <c r="W8" s="169"/>
      <c r="X8" s="169"/>
      <c r="Y8" s="170"/>
      <c r="Z8" s="168" t="s">
        <v>43</v>
      </c>
      <c r="AA8" s="169"/>
      <c r="AB8" s="169"/>
      <c r="AC8" s="170"/>
      <c r="AD8" s="168" t="s">
        <v>44</v>
      </c>
      <c r="AE8" s="169"/>
      <c r="AF8" s="169"/>
      <c r="AG8" s="170"/>
      <c r="AH8" s="65" t="s">
        <v>45</v>
      </c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7"/>
      <c r="BD8" s="168" t="s">
        <v>46</v>
      </c>
      <c r="BE8" s="169"/>
      <c r="BF8" s="169"/>
      <c r="BG8" s="169"/>
      <c r="BH8" s="169"/>
      <c r="BI8" s="169"/>
      <c r="BJ8" s="170"/>
    </row>
    <row r="9" spans="1:63" s="11" customFormat="1" ht="40.5" customHeight="1">
      <c r="A9" s="171"/>
      <c r="B9" s="172"/>
      <c r="C9" s="173"/>
      <c r="D9" s="174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6"/>
      <c r="R9" s="171"/>
      <c r="S9" s="172"/>
      <c r="T9" s="172"/>
      <c r="U9" s="173"/>
      <c r="V9" s="171"/>
      <c r="W9" s="172"/>
      <c r="X9" s="172"/>
      <c r="Y9" s="173"/>
      <c r="Z9" s="171"/>
      <c r="AA9" s="172"/>
      <c r="AB9" s="172"/>
      <c r="AC9" s="173"/>
      <c r="AD9" s="171"/>
      <c r="AE9" s="172"/>
      <c r="AF9" s="172"/>
      <c r="AG9" s="173"/>
      <c r="AH9" s="177" t="s">
        <v>51</v>
      </c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9"/>
      <c r="BD9" s="171"/>
      <c r="BE9" s="172"/>
      <c r="BF9" s="172"/>
      <c r="BG9" s="172"/>
      <c r="BH9" s="172"/>
      <c r="BI9" s="172"/>
      <c r="BJ9" s="173"/>
    </row>
    <row r="10" spans="1:63" ht="40.5" customHeight="1">
      <c r="A10" s="162"/>
      <c r="B10" s="163"/>
      <c r="C10" s="164"/>
      <c r="D10" s="165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7"/>
      <c r="R10" s="162"/>
      <c r="S10" s="163"/>
      <c r="T10" s="163"/>
      <c r="U10" s="164"/>
      <c r="V10" s="162"/>
      <c r="W10" s="163"/>
      <c r="X10" s="163"/>
      <c r="Y10" s="164"/>
      <c r="Z10" s="162"/>
      <c r="AA10" s="163"/>
      <c r="AB10" s="163"/>
      <c r="AC10" s="164"/>
      <c r="AD10" s="162"/>
      <c r="AE10" s="163"/>
      <c r="AF10" s="163"/>
      <c r="AG10" s="164"/>
      <c r="AH10" s="159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1"/>
      <c r="BD10" s="162"/>
      <c r="BE10" s="163"/>
      <c r="BF10" s="163"/>
      <c r="BG10" s="163"/>
      <c r="BH10" s="163"/>
      <c r="BI10" s="163"/>
      <c r="BJ10" s="164"/>
    </row>
    <row r="11" spans="1:63" ht="40.5" customHeight="1">
      <c r="A11" s="162"/>
      <c r="B11" s="163"/>
      <c r="C11" s="164"/>
      <c r="D11" s="165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7"/>
      <c r="R11" s="162"/>
      <c r="S11" s="163"/>
      <c r="T11" s="163"/>
      <c r="U11" s="164"/>
      <c r="V11" s="162"/>
      <c r="W11" s="163"/>
      <c r="X11" s="163"/>
      <c r="Y11" s="164"/>
      <c r="Z11" s="162"/>
      <c r="AA11" s="163"/>
      <c r="AB11" s="163"/>
      <c r="AC11" s="164"/>
      <c r="AD11" s="162"/>
      <c r="AE11" s="163"/>
      <c r="AF11" s="163"/>
      <c r="AG11" s="164"/>
      <c r="AH11" s="159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1"/>
      <c r="BD11" s="162"/>
      <c r="BE11" s="163"/>
      <c r="BF11" s="163"/>
      <c r="BG11" s="163"/>
      <c r="BH11" s="163"/>
      <c r="BI11" s="163"/>
      <c r="BJ11" s="164"/>
    </row>
    <row r="12" spans="1:63" ht="40.5" customHeight="1">
      <c r="A12" s="162"/>
      <c r="B12" s="163"/>
      <c r="C12" s="164"/>
      <c r="D12" s="165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7"/>
      <c r="R12" s="162"/>
      <c r="S12" s="163"/>
      <c r="T12" s="163"/>
      <c r="U12" s="164"/>
      <c r="V12" s="162"/>
      <c r="W12" s="163"/>
      <c r="X12" s="163"/>
      <c r="Y12" s="164"/>
      <c r="Z12" s="162"/>
      <c r="AA12" s="163"/>
      <c r="AB12" s="163"/>
      <c r="AC12" s="164"/>
      <c r="AD12" s="162"/>
      <c r="AE12" s="163"/>
      <c r="AF12" s="163"/>
      <c r="AG12" s="164"/>
      <c r="AH12" s="159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1"/>
      <c r="BD12" s="162"/>
      <c r="BE12" s="163"/>
      <c r="BF12" s="163"/>
      <c r="BG12" s="163"/>
      <c r="BH12" s="163"/>
      <c r="BI12" s="163"/>
      <c r="BJ12" s="164"/>
    </row>
    <row r="13" spans="1:63" ht="40.5" customHeight="1">
      <c r="A13" s="162"/>
      <c r="B13" s="163"/>
      <c r="C13" s="164"/>
      <c r="D13" s="165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7"/>
      <c r="R13" s="162"/>
      <c r="S13" s="163"/>
      <c r="T13" s="163"/>
      <c r="U13" s="164"/>
      <c r="V13" s="162"/>
      <c r="W13" s="163"/>
      <c r="X13" s="163"/>
      <c r="Y13" s="164"/>
      <c r="Z13" s="162"/>
      <c r="AA13" s="163"/>
      <c r="AB13" s="163"/>
      <c r="AC13" s="164"/>
      <c r="AD13" s="162"/>
      <c r="AE13" s="163"/>
      <c r="AF13" s="163"/>
      <c r="AG13" s="164"/>
      <c r="AH13" s="159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1"/>
      <c r="BD13" s="162"/>
      <c r="BE13" s="163"/>
      <c r="BF13" s="163"/>
      <c r="BG13" s="163"/>
      <c r="BH13" s="163"/>
      <c r="BI13" s="163"/>
      <c r="BJ13" s="164"/>
    </row>
    <row r="14" spans="1:63" ht="40.5" customHeight="1">
      <c r="A14" s="162"/>
      <c r="B14" s="163"/>
      <c r="C14" s="164"/>
      <c r="D14" s="165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7"/>
      <c r="R14" s="162"/>
      <c r="S14" s="163"/>
      <c r="T14" s="163"/>
      <c r="U14" s="164"/>
      <c r="V14" s="162"/>
      <c r="W14" s="163"/>
      <c r="X14" s="163"/>
      <c r="Y14" s="164"/>
      <c r="Z14" s="162"/>
      <c r="AA14" s="163"/>
      <c r="AB14" s="163"/>
      <c r="AC14" s="164"/>
      <c r="AD14" s="162"/>
      <c r="AE14" s="163"/>
      <c r="AF14" s="163"/>
      <c r="AG14" s="164"/>
      <c r="AH14" s="159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1"/>
      <c r="BD14" s="162"/>
      <c r="BE14" s="163"/>
      <c r="BF14" s="163"/>
      <c r="BG14" s="163"/>
      <c r="BH14" s="163"/>
      <c r="BI14" s="163"/>
      <c r="BJ14" s="164"/>
    </row>
    <row r="15" spans="1:63" ht="40.5" customHeight="1">
      <c r="A15" s="162"/>
      <c r="B15" s="163"/>
      <c r="C15" s="164"/>
      <c r="D15" s="16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7"/>
      <c r="R15" s="162"/>
      <c r="S15" s="163"/>
      <c r="T15" s="163"/>
      <c r="U15" s="164"/>
      <c r="V15" s="162"/>
      <c r="W15" s="163"/>
      <c r="X15" s="163"/>
      <c r="Y15" s="164"/>
      <c r="Z15" s="162"/>
      <c r="AA15" s="163"/>
      <c r="AB15" s="163"/>
      <c r="AC15" s="164"/>
      <c r="AD15" s="162"/>
      <c r="AE15" s="163"/>
      <c r="AF15" s="163"/>
      <c r="AG15" s="164"/>
      <c r="AH15" s="159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1"/>
      <c r="BD15" s="162"/>
      <c r="BE15" s="163"/>
      <c r="BF15" s="163"/>
      <c r="BG15" s="163"/>
      <c r="BH15" s="163"/>
      <c r="BI15" s="163"/>
      <c r="BJ15" s="164"/>
    </row>
    <row r="16" spans="1:63" ht="40.5" customHeight="1">
      <c r="A16" s="162"/>
      <c r="B16" s="163"/>
      <c r="C16" s="164"/>
      <c r="D16" s="165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7"/>
      <c r="R16" s="162"/>
      <c r="S16" s="163"/>
      <c r="T16" s="163"/>
      <c r="U16" s="164"/>
      <c r="V16" s="162"/>
      <c r="W16" s="163"/>
      <c r="X16" s="163"/>
      <c r="Y16" s="164"/>
      <c r="Z16" s="162"/>
      <c r="AA16" s="163"/>
      <c r="AB16" s="163"/>
      <c r="AC16" s="164"/>
      <c r="AD16" s="162"/>
      <c r="AE16" s="163"/>
      <c r="AF16" s="163"/>
      <c r="AG16" s="164"/>
      <c r="AH16" s="159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1"/>
      <c r="BD16" s="162"/>
      <c r="BE16" s="163"/>
      <c r="BF16" s="163"/>
      <c r="BG16" s="163"/>
      <c r="BH16" s="163"/>
      <c r="BI16" s="163"/>
      <c r="BJ16" s="164"/>
    </row>
    <row r="17" spans="1:62" ht="40.5" customHeight="1">
      <c r="A17" s="162"/>
      <c r="B17" s="163"/>
      <c r="C17" s="164"/>
      <c r="D17" s="165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7"/>
      <c r="R17" s="162"/>
      <c r="S17" s="163"/>
      <c r="T17" s="163"/>
      <c r="U17" s="164"/>
      <c r="V17" s="162"/>
      <c r="W17" s="163"/>
      <c r="X17" s="163"/>
      <c r="Y17" s="164"/>
      <c r="Z17" s="162"/>
      <c r="AA17" s="163"/>
      <c r="AB17" s="163"/>
      <c r="AC17" s="164"/>
      <c r="AD17" s="162"/>
      <c r="AE17" s="163"/>
      <c r="AF17" s="163"/>
      <c r="AG17" s="164"/>
      <c r="AH17" s="159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1"/>
      <c r="BD17" s="162"/>
      <c r="BE17" s="163"/>
      <c r="BF17" s="163"/>
      <c r="BG17" s="163"/>
      <c r="BH17" s="163"/>
      <c r="BI17" s="163"/>
      <c r="BJ17" s="164"/>
    </row>
    <row r="18" spans="1:62" ht="40.5" customHeight="1">
      <c r="A18" s="162"/>
      <c r="B18" s="163"/>
      <c r="C18" s="164"/>
      <c r="D18" s="165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7"/>
      <c r="R18" s="162"/>
      <c r="S18" s="163"/>
      <c r="T18" s="163"/>
      <c r="U18" s="164"/>
      <c r="V18" s="162"/>
      <c r="W18" s="163"/>
      <c r="X18" s="163"/>
      <c r="Y18" s="164"/>
      <c r="Z18" s="162"/>
      <c r="AA18" s="163"/>
      <c r="AB18" s="163"/>
      <c r="AC18" s="164"/>
      <c r="AD18" s="162"/>
      <c r="AE18" s="163"/>
      <c r="AF18" s="163"/>
      <c r="AG18" s="164"/>
      <c r="AH18" s="159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1"/>
      <c r="BD18" s="162"/>
      <c r="BE18" s="163"/>
      <c r="BF18" s="163"/>
      <c r="BG18" s="163"/>
      <c r="BH18" s="163"/>
      <c r="BI18" s="163"/>
      <c r="BJ18" s="164"/>
    </row>
    <row r="19" spans="1:62" ht="40.5" customHeight="1">
      <c r="A19" s="162"/>
      <c r="B19" s="163"/>
      <c r="C19" s="164"/>
      <c r="D19" s="165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7"/>
      <c r="R19" s="162"/>
      <c r="S19" s="163"/>
      <c r="T19" s="163"/>
      <c r="U19" s="164"/>
      <c r="V19" s="162"/>
      <c r="W19" s="163"/>
      <c r="X19" s="163"/>
      <c r="Y19" s="164"/>
      <c r="Z19" s="162"/>
      <c r="AA19" s="163"/>
      <c r="AB19" s="163"/>
      <c r="AC19" s="164"/>
      <c r="AD19" s="162"/>
      <c r="AE19" s="163"/>
      <c r="AF19" s="163"/>
      <c r="AG19" s="164"/>
      <c r="AH19" s="159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1"/>
      <c r="BD19" s="162"/>
      <c r="BE19" s="163"/>
      <c r="BF19" s="163"/>
      <c r="BG19" s="163"/>
      <c r="BH19" s="163"/>
      <c r="BI19" s="163"/>
      <c r="BJ19" s="164"/>
    </row>
    <row r="20" spans="1:62" ht="40.5" customHeight="1">
      <c r="A20" s="162"/>
      <c r="B20" s="163"/>
      <c r="C20" s="164"/>
      <c r="D20" s="165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7"/>
      <c r="R20" s="162"/>
      <c r="S20" s="163"/>
      <c r="T20" s="163"/>
      <c r="U20" s="164"/>
      <c r="V20" s="162"/>
      <c r="W20" s="163"/>
      <c r="X20" s="163"/>
      <c r="Y20" s="164"/>
      <c r="Z20" s="162"/>
      <c r="AA20" s="163"/>
      <c r="AB20" s="163"/>
      <c r="AC20" s="164"/>
      <c r="AD20" s="162"/>
      <c r="AE20" s="163"/>
      <c r="AF20" s="163"/>
      <c r="AG20" s="164"/>
      <c r="AH20" s="159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1"/>
      <c r="BD20" s="162"/>
      <c r="BE20" s="163"/>
      <c r="BF20" s="163"/>
      <c r="BG20" s="163"/>
      <c r="BH20" s="163"/>
      <c r="BI20" s="163"/>
      <c r="BJ20" s="164"/>
    </row>
    <row r="21" spans="1:62" ht="40.5" customHeight="1">
      <c r="A21" s="162"/>
      <c r="B21" s="163"/>
      <c r="C21" s="164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7"/>
      <c r="R21" s="162"/>
      <c r="S21" s="163"/>
      <c r="T21" s="163"/>
      <c r="U21" s="164"/>
      <c r="V21" s="162"/>
      <c r="W21" s="163"/>
      <c r="X21" s="163"/>
      <c r="Y21" s="164"/>
      <c r="Z21" s="162"/>
      <c r="AA21" s="163"/>
      <c r="AB21" s="163"/>
      <c r="AC21" s="164"/>
      <c r="AD21" s="162"/>
      <c r="AE21" s="163"/>
      <c r="AF21" s="163"/>
      <c r="AG21" s="164"/>
      <c r="AH21" s="159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1"/>
      <c r="BD21" s="162"/>
      <c r="BE21" s="163"/>
      <c r="BF21" s="163"/>
      <c r="BG21" s="163"/>
      <c r="BH21" s="163"/>
      <c r="BI21" s="163"/>
      <c r="BJ21" s="164"/>
    </row>
    <row r="22" spans="1:62" ht="40.5" customHeight="1">
      <c r="A22" s="162"/>
      <c r="B22" s="163"/>
      <c r="C22" s="164"/>
      <c r="D22" s="165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7"/>
      <c r="R22" s="162"/>
      <c r="S22" s="163"/>
      <c r="T22" s="163"/>
      <c r="U22" s="164"/>
      <c r="V22" s="162"/>
      <c r="W22" s="163"/>
      <c r="X22" s="163"/>
      <c r="Y22" s="164"/>
      <c r="Z22" s="162"/>
      <c r="AA22" s="163"/>
      <c r="AB22" s="163"/>
      <c r="AC22" s="164"/>
      <c r="AD22" s="162"/>
      <c r="AE22" s="163"/>
      <c r="AF22" s="163"/>
      <c r="AG22" s="164"/>
      <c r="AH22" s="159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1"/>
      <c r="BD22" s="162"/>
      <c r="BE22" s="163"/>
      <c r="BF22" s="163"/>
      <c r="BG22" s="163"/>
      <c r="BH22" s="163"/>
      <c r="BI22" s="163"/>
      <c r="BJ22" s="164"/>
    </row>
    <row r="23" spans="1:62" ht="40.5" customHeight="1">
      <c r="A23" s="162"/>
      <c r="B23" s="163"/>
      <c r="C23" s="164"/>
      <c r="D23" s="165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7"/>
      <c r="R23" s="162"/>
      <c r="S23" s="163"/>
      <c r="T23" s="163"/>
      <c r="U23" s="164"/>
      <c r="V23" s="162"/>
      <c r="W23" s="163"/>
      <c r="X23" s="163"/>
      <c r="Y23" s="164"/>
      <c r="Z23" s="162"/>
      <c r="AA23" s="163"/>
      <c r="AB23" s="163"/>
      <c r="AC23" s="164"/>
      <c r="AD23" s="162"/>
      <c r="AE23" s="163"/>
      <c r="AF23" s="163"/>
      <c r="AG23" s="164"/>
      <c r="AH23" s="159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1"/>
      <c r="BD23" s="162"/>
      <c r="BE23" s="163"/>
      <c r="BF23" s="163"/>
      <c r="BG23" s="163"/>
      <c r="BH23" s="163"/>
      <c r="BI23" s="163"/>
      <c r="BJ23" s="164"/>
    </row>
    <row r="24" spans="1:62" ht="40.5" customHeight="1">
      <c r="A24" s="162"/>
      <c r="B24" s="163"/>
      <c r="C24" s="164"/>
      <c r="D24" s="165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7"/>
      <c r="R24" s="162"/>
      <c r="S24" s="163"/>
      <c r="T24" s="163"/>
      <c r="U24" s="164"/>
      <c r="V24" s="162"/>
      <c r="W24" s="163"/>
      <c r="X24" s="163"/>
      <c r="Y24" s="164"/>
      <c r="Z24" s="162"/>
      <c r="AA24" s="163"/>
      <c r="AB24" s="163"/>
      <c r="AC24" s="164"/>
      <c r="AD24" s="162"/>
      <c r="AE24" s="163"/>
      <c r="AF24" s="163"/>
      <c r="AG24" s="164"/>
      <c r="AH24" s="159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1"/>
      <c r="BD24" s="162"/>
      <c r="BE24" s="163"/>
      <c r="BF24" s="163"/>
      <c r="BG24" s="163"/>
      <c r="BH24" s="163"/>
      <c r="BI24" s="163"/>
      <c r="BJ24" s="164"/>
    </row>
    <row r="25" spans="1:62" ht="40.5" customHeight="1">
      <c r="A25" s="162"/>
      <c r="B25" s="163"/>
      <c r="C25" s="164"/>
      <c r="D25" s="165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7"/>
      <c r="R25" s="162"/>
      <c r="S25" s="163"/>
      <c r="T25" s="163"/>
      <c r="U25" s="164"/>
      <c r="V25" s="162"/>
      <c r="W25" s="163"/>
      <c r="X25" s="163"/>
      <c r="Y25" s="164"/>
      <c r="Z25" s="162"/>
      <c r="AA25" s="163"/>
      <c r="AB25" s="163"/>
      <c r="AC25" s="164"/>
      <c r="AD25" s="162"/>
      <c r="AE25" s="163"/>
      <c r="AF25" s="163"/>
      <c r="AG25" s="164"/>
      <c r="AH25" s="159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1"/>
      <c r="BD25" s="162"/>
      <c r="BE25" s="163"/>
      <c r="BF25" s="163"/>
      <c r="BG25" s="163"/>
      <c r="BH25" s="163"/>
      <c r="BI25" s="163"/>
      <c r="BJ25" s="164"/>
    </row>
    <row r="26" spans="1:62" ht="40.5" customHeight="1">
      <c r="A26" s="162"/>
      <c r="B26" s="163"/>
      <c r="C26" s="164"/>
      <c r="D26" s="165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7"/>
      <c r="R26" s="162"/>
      <c r="S26" s="163"/>
      <c r="T26" s="163"/>
      <c r="U26" s="164"/>
      <c r="V26" s="162"/>
      <c r="W26" s="163"/>
      <c r="X26" s="163"/>
      <c r="Y26" s="164"/>
      <c r="Z26" s="162"/>
      <c r="AA26" s="163"/>
      <c r="AB26" s="163"/>
      <c r="AC26" s="164"/>
      <c r="AD26" s="162"/>
      <c r="AE26" s="163"/>
      <c r="AF26" s="163"/>
      <c r="AG26" s="164"/>
      <c r="AH26" s="159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1"/>
      <c r="BD26" s="162"/>
      <c r="BE26" s="163"/>
      <c r="BF26" s="163"/>
      <c r="BG26" s="163"/>
      <c r="BH26" s="163"/>
      <c r="BI26" s="163"/>
      <c r="BJ26" s="164"/>
    </row>
    <row r="27" spans="1:62" ht="40.5" customHeight="1">
      <c r="A27" s="162"/>
      <c r="B27" s="163"/>
      <c r="C27" s="164"/>
      <c r="D27" s="165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7"/>
      <c r="R27" s="162"/>
      <c r="S27" s="163"/>
      <c r="T27" s="163"/>
      <c r="U27" s="164"/>
      <c r="V27" s="162"/>
      <c r="W27" s="163"/>
      <c r="X27" s="163"/>
      <c r="Y27" s="164"/>
      <c r="Z27" s="162"/>
      <c r="AA27" s="163"/>
      <c r="AB27" s="163"/>
      <c r="AC27" s="164"/>
      <c r="AD27" s="162"/>
      <c r="AE27" s="163"/>
      <c r="AF27" s="163"/>
      <c r="AG27" s="164"/>
      <c r="AH27" s="159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1"/>
      <c r="BD27" s="162"/>
      <c r="BE27" s="163"/>
      <c r="BF27" s="163"/>
      <c r="BG27" s="163"/>
      <c r="BH27" s="163"/>
      <c r="BI27" s="163"/>
      <c r="BJ27" s="164"/>
    </row>
    <row r="28" spans="1:62" ht="40.5" customHeight="1">
      <c r="A28" s="162"/>
      <c r="B28" s="163"/>
      <c r="C28" s="164"/>
      <c r="D28" s="165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7"/>
      <c r="R28" s="162"/>
      <c r="S28" s="163"/>
      <c r="T28" s="163"/>
      <c r="U28" s="164"/>
      <c r="V28" s="162"/>
      <c r="W28" s="163"/>
      <c r="X28" s="163"/>
      <c r="Y28" s="164"/>
      <c r="Z28" s="162"/>
      <c r="AA28" s="163"/>
      <c r="AB28" s="163"/>
      <c r="AC28" s="164"/>
      <c r="AD28" s="162"/>
      <c r="AE28" s="163"/>
      <c r="AF28" s="163"/>
      <c r="AG28" s="164"/>
      <c r="AH28" s="159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1"/>
      <c r="BD28" s="162"/>
      <c r="BE28" s="163"/>
      <c r="BF28" s="163"/>
      <c r="BG28" s="163"/>
      <c r="BH28" s="163"/>
      <c r="BI28" s="163"/>
      <c r="BJ28" s="164"/>
    </row>
    <row r="29" spans="1:62" ht="40.5" customHeight="1">
      <c r="A29" s="162"/>
      <c r="B29" s="163"/>
      <c r="C29" s="164"/>
      <c r="D29" s="165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7"/>
      <c r="R29" s="162"/>
      <c r="S29" s="163"/>
      <c r="T29" s="163"/>
      <c r="U29" s="164"/>
      <c r="V29" s="162"/>
      <c r="W29" s="163"/>
      <c r="X29" s="163"/>
      <c r="Y29" s="164"/>
      <c r="Z29" s="162"/>
      <c r="AA29" s="163"/>
      <c r="AB29" s="163"/>
      <c r="AC29" s="164"/>
      <c r="AD29" s="162"/>
      <c r="AE29" s="163"/>
      <c r="AF29" s="163"/>
      <c r="AG29" s="164"/>
      <c r="AH29" s="159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1"/>
      <c r="BD29" s="162"/>
      <c r="BE29" s="163"/>
      <c r="BF29" s="163"/>
      <c r="BG29" s="163"/>
      <c r="BH29" s="163"/>
      <c r="BI29" s="163"/>
      <c r="BJ29" s="164"/>
    </row>
    <row r="30" spans="1:62" ht="40.5" customHeight="1">
      <c r="A30" s="162"/>
      <c r="B30" s="163"/>
      <c r="C30" s="164"/>
      <c r="D30" s="165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7"/>
      <c r="R30" s="162"/>
      <c r="S30" s="163"/>
      <c r="T30" s="163"/>
      <c r="U30" s="164"/>
      <c r="V30" s="162"/>
      <c r="W30" s="163"/>
      <c r="X30" s="163"/>
      <c r="Y30" s="164"/>
      <c r="Z30" s="162"/>
      <c r="AA30" s="163"/>
      <c r="AB30" s="163"/>
      <c r="AC30" s="164"/>
      <c r="AD30" s="162"/>
      <c r="AE30" s="163"/>
      <c r="AF30" s="163"/>
      <c r="AG30" s="164"/>
      <c r="AH30" s="159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1"/>
      <c r="BD30" s="162"/>
      <c r="BE30" s="163"/>
      <c r="BF30" s="163"/>
      <c r="BG30" s="163"/>
      <c r="BH30" s="163"/>
      <c r="BI30" s="163"/>
      <c r="BJ30" s="164"/>
    </row>
    <row r="31" spans="1:62" ht="40.5" customHeight="1">
      <c r="A31" s="162"/>
      <c r="B31" s="163"/>
      <c r="C31" s="164"/>
      <c r="D31" s="165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7"/>
      <c r="R31" s="162"/>
      <c r="S31" s="163"/>
      <c r="T31" s="163"/>
      <c r="U31" s="164"/>
      <c r="V31" s="162"/>
      <c r="W31" s="163"/>
      <c r="X31" s="163"/>
      <c r="Y31" s="164"/>
      <c r="Z31" s="162"/>
      <c r="AA31" s="163"/>
      <c r="AB31" s="163"/>
      <c r="AC31" s="164"/>
      <c r="AD31" s="162"/>
      <c r="AE31" s="163"/>
      <c r="AF31" s="163"/>
      <c r="AG31" s="164"/>
      <c r="AH31" s="159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1"/>
      <c r="BD31" s="162"/>
      <c r="BE31" s="163"/>
      <c r="BF31" s="163"/>
      <c r="BG31" s="163"/>
      <c r="BH31" s="163"/>
      <c r="BI31" s="163"/>
      <c r="BJ31" s="164"/>
    </row>
    <row r="32" spans="1:62" ht="40.5" customHeight="1">
      <c r="A32" s="153"/>
      <c r="B32" s="154"/>
      <c r="C32" s="155"/>
      <c r="D32" s="156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8"/>
      <c r="R32" s="153"/>
      <c r="S32" s="154"/>
      <c r="T32" s="154"/>
      <c r="U32" s="155"/>
      <c r="V32" s="153"/>
      <c r="W32" s="154"/>
      <c r="X32" s="154"/>
      <c r="Y32" s="155"/>
      <c r="Z32" s="153"/>
      <c r="AA32" s="154"/>
      <c r="AB32" s="154"/>
      <c r="AC32" s="155"/>
      <c r="AD32" s="153"/>
      <c r="AE32" s="154"/>
      <c r="AF32" s="154"/>
      <c r="AG32" s="155"/>
      <c r="AH32" s="150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2"/>
      <c r="BD32" s="153"/>
      <c r="BE32" s="154"/>
      <c r="BF32" s="154"/>
      <c r="BG32" s="154"/>
      <c r="BH32" s="154"/>
      <c r="BI32" s="154"/>
      <c r="BJ32" s="155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7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1" t="s">
        <v>47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5" t="s">
        <v>3</v>
      </c>
      <c r="AU2" s="66"/>
      <c r="AV2" s="66"/>
      <c r="AW2" s="66"/>
      <c r="AX2" s="67"/>
      <c r="AY2" s="65" t="s">
        <v>48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3" s="1" customFormat="1" ht="18" customHeight="1">
      <c r="A3" s="74" t="s">
        <v>6</v>
      </c>
      <c r="B3" s="75"/>
      <c r="C3" s="75"/>
      <c r="D3" s="75"/>
      <c r="E3" s="75"/>
      <c r="F3" s="75"/>
      <c r="G3" s="75"/>
      <c r="H3" s="76"/>
      <c r="I3" s="80" t="s">
        <v>242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65" t="s">
        <v>7</v>
      </c>
      <c r="AU3" s="66"/>
      <c r="AV3" s="66"/>
      <c r="AW3" s="66"/>
      <c r="AX3" s="67"/>
      <c r="AY3" s="65" t="s">
        <v>241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3" s="1" customFormat="1" ht="18" customHeight="1">
      <c r="A4" s="77"/>
      <c r="B4" s="78"/>
      <c r="C4" s="78"/>
      <c r="D4" s="78"/>
      <c r="E4" s="78"/>
      <c r="F4" s="78"/>
      <c r="G4" s="78"/>
      <c r="H4" s="79"/>
      <c r="I4" s="83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65" t="s">
        <v>8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41" t="s">
        <v>16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1" t="s">
        <v>214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5" t="s">
        <v>20</v>
      </c>
      <c r="B8" s="66"/>
      <c r="C8" s="67"/>
      <c r="D8" s="65" t="s">
        <v>215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  <c r="R8" s="65" t="s">
        <v>49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7"/>
      <c r="BD8" s="168" t="s">
        <v>46</v>
      </c>
      <c r="BE8" s="169"/>
      <c r="BF8" s="169"/>
      <c r="BG8" s="169"/>
      <c r="BH8" s="169"/>
      <c r="BI8" s="169"/>
      <c r="BJ8" s="170"/>
    </row>
    <row r="9" spans="1:63" s="11" customFormat="1" ht="40.5" customHeight="1">
      <c r="A9" s="171"/>
      <c r="B9" s="172"/>
      <c r="C9" s="173"/>
      <c r="D9" s="174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6"/>
      <c r="R9" s="174" t="s">
        <v>51</v>
      </c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6"/>
      <c r="BD9" s="171"/>
      <c r="BE9" s="172"/>
      <c r="BF9" s="172"/>
      <c r="BG9" s="172"/>
      <c r="BH9" s="172"/>
      <c r="BI9" s="172"/>
      <c r="BJ9" s="173"/>
    </row>
    <row r="10" spans="1:63" ht="40.5" customHeight="1">
      <c r="A10" s="162"/>
      <c r="B10" s="163"/>
      <c r="C10" s="164"/>
      <c r="D10" s="165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7"/>
      <c r="R10" s="165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7"/>
      <c r="BD10" s="162"/>
      <c r="BE10" s="163"/>
      <c r="BF10" s="163"/>
      <c r="BG10" s="163"/>
      <c r="BH10" s="163"/>
      <c r="BI10" s="163"/>
      <c r="BJ10" s="164"/>
    </row>
    <row r="11" spans="1:63" ht="40.5" customHeight="1">
      <c r="A11" s="162"/>
      <c r="B11" s="163"/>
      <c r="C11" s="164"/>
      <c r="D11" s="165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7"/>
      <c r="R11" s="165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7"/>
      <c r="BD11" s="162"/>
      <c r="BE11" s="163"/>
      <c r="BF11" s="163"/>
      <c r="BG11" s="163"/>
      <c r="BH11" s="163"/>
      <c r="BI11" s="163"/>
      <c r="BJ11" s="164"/>
    </row>
    <row r="12" spans="1:63" ht="40.5" customHeight="1">
      <c r="A12" s="162"/>
      <c r="B12" s="163"/>
      <c r="C12" s="164"/>
      <c r="D12" s="165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7"/>
      <c r="R12" s="165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7"/>
      <c r="BD12" s="162"/>
      <c r="BE12" s="163"/>
      <c r="BF12" s="163"/>
      <c r="BG12" s="163"/>
      <c r="BH12" s="163"/>
      <c r="BI12" s="163"/>
      <c r="BJ12" s="164"/>
    </row>
    <row r="13" spans="1:63" ht="40.5" customHeight="1">
      <c r="A13" s="162"/>
      <c r="B13" s="163"/>
      <c r="C13" s="164"/>
      <c r="D13" s="165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7"/>
      <c r="R13" s="165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7"/>
      <c r="BD13" s="162"/>
      <c r="BE13" s="163"/>
      <c r="BF13" s="163"/>
      <c r="BG13" s="163"/>
      <c r="BH13" s="163"/>
      <c r="BI13" s="163"/>
      <c r="BJ13" s="164"/>
    </row>
    <row r="14" spans="1:63" ht="40.5" customHeight="1">
      <c r="A14" s="162"/>
      <c r="B14" s="163"/>
      <c r="C14" s="164"/>
      <c r="D14" s="165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7"/>
      <c r="R14" s="165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7"/>
      <c r="BD14" s="162"/>
      <c r="BE14" s="163"/>
      <c r="BF14" s="163"/>
      <c r="BG14" s="163"/>
      <c r="BH14" s="163"/>
      <c r="BI14" s="163"/>
      <c r="BJ14" s="164"/>
    </row>
    <row r="15" spans="1:63" ht="40.5" customHeight="1">
      <c r="A15" s="162"/>
      <c r="B15" s="163"/>
      <c r="C15" s="164"/>
      <c r="D15" s="16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7"/>
      <c r="R15" s="165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7"/>
      <c r="BD15" s="162"/>
      <c r="BE15" s="163"/>
      <c r="BF15" s="163"/>
      <c r="BG15" s="163"/>
      <c r="BH15" s="163"/>
      <c r="BI15" s="163"/>
      <c r="BJ15" s="164"/>
    </row>
    <row r="16" spans="1:63" ht="40.5" customHeight="1">
      <c r="A16" s="162"/>
      <c r="B16" s="163"/>
      <c r="C16" s="164"/>
      <c r="D16" s="165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7"/>
      <c r="R16" s="165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7"/>
      <c r="BD16" s="162"/>
      <c r="BE16" s="163"/>
      <c r="BF16" s="163"/>
      <c r="BG16" s="163"/>
      <c r="BH16" s="163"/>
      <c r="BI16" s="163"/>
      <c r="BJ16" s="164"/>
    </row>
    <row r="17" spans="1:62" ht="40.5" customHeight="1">
      <c r="A17" s="162"/>
      <c r="B17" s="163"/>
      <c r="C17" s="164"/>
      <c r="D17" s="165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7"/>
      <c r="R17" s="165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7"/>
      <c r="BD17" s="162"/>
      <c r="BE17" s="163"/>
      <c r="BF17" s="163"/>
      <c r="BG17" s="163"/>
      <c r="BH17" s="163"/>
      <c r="BI17" s="163"/>
      <c r="BJ17" s="164"/>
    </row>
    <row r="18" spans="1:62" ht="40.5" customHeight="1">
      <c r="A18" s="162"/>
      <c r="B18" s="163"/>
      <c r="C18" s="164"/>
      <c r="D18" s="165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7"/>
      <c r="R18" s="165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7"/>
      <c r="BD18" s="162"/>
      <c r="BE18" s="163"/>
      <c r="BF18" s="163"/>
      <c r="BG18" s="163"/>
      <c r="BH18" s="163"/>
      <c r="BI18" s="163"/>
      <c r="BJ18" s="164"/>
    </row>
    <row r="19" spans="1:62" ht="40.5" customHeight="1">
      <c r="A19" s="162"/>
      <c r="B19" s="163"/>
      <c r="C19" s="164"/>
      <c r="D19" s="165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7"/>
      <c r="R19" s="165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7"/>
      <c r="BD19" s="162"/>
      <c r="BE19" s="163"/>
      <c r="BF19" s="163"/>
      <c r="BG19" s="163"/>
      <c r="BH19" s="163"/>
      <c r="BI19" s="163"/>
      <c r="BJ19" s="164"/>
    </row>
    <row r="20" spans="1:62" ht="40.5" customHeight="1">
      <c r="A20" s="162"/>
      <c r="B20" s="163"/>
      <c r="C20" s="164"/>
      <c r="D20" s="165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7"/>
      <c r="R20" s="165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  <c r="BD20" s="162"/>
      <c r="BE20" s="163"/>
      <c r="BF20" s="163"/>
      <c r="BG20" s="163"/>
      <c r="BH20" s="163"/>
      <c r="BI20" s="163"/>
      <c r="BJ20" s="164"/>
    </row>
    <row r="21" spans="1:62" ht="40.5" customHeight="1">
      <c r="A21" s="162"/>
      <c r="B21" s="163"/>
      <c r="C21" s="164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7"/>
      <c r="R21" s="165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  <c r="BD21" s="162"/>
      <c r="BE21" s="163"/>
      <c r="BF21" s="163"/>
      <c r="BG21" s="163"/>
      <c r="BH21" s="163"/>
      <c r="BI21" s="163"/>
      <c r="BJ21" s="164"/>
    </row>
    <row r="22" spans="1:62" ht="40.5" customHeight="1">
      <c r="A22" s="162"/>
      <c r="B22" s="163"/>
      <c r="C22" s="164"/>
      <c r="D22" s="165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7"/>
      <c r="R22" s="165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7"/>
      <c r="BD22" s="162"/>
      <c r="BE22" s="163"/>
      <c r="BF22" s="163"/>
      <c r="BG22" s="163"/>
      <c r="BH22" s="163"/>
      <c r="BI22" s="163"/>
      <c r="BJ22" s="164"/>
    </row>
    <row r="23" spans="1:62" ht="40.5" customHeight="1">
      <c r="A23" s="162"/>
      <c r="B23" s="163"/>
      <c r="C23" s="164"/>
      <c r="D23" s="165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7"/>
      <c r="R23" s="165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7"/>
      <c r="BD23" s="162"/>
      <c r="BE23" s="163"/>
      <c r="BF23" s="163"/>
      <c r="BG23" s="163"/>
      <c r="BH23" s="163"/>
      <c r="BI23" s="163"/>
      <c r="BJ23" s="164"/>
    </row>
    <row r="24" spans="1:62" ht="40.5" customHeight="1">
      <c r="A24" s="162"/>
      <c r="B24" s="163"/>
      <c r="C24" s="164"/>
      <c r="D24" s="165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7"/>
      <c r="R24" s="165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7"/>
      <c r="BD24" s="162"/>
      <c r="BE24" s="163"/>
      <c r="BF24" s="163"/>
      <c r="BG24" s="163"/>
      <c r="BH24" s="163"/>
      <c r="BI24" s="163"/>
      <c r="BJ24" s="164"/>
    </row>
    <row r="25" spans="1:62" ht="40.5" customHeight="1">
      <c r="A25" s="162"/>
      <c r="B25" s="163"/>
      <c r="C25" s="164"/>
      <c r="D25" s="165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7"/>
      <c r="R25" s="165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7"/>
      <c r="BD25" s="162"/>
      <c r="BE25" s="163"/>
      <c r="BF25" s="163"/>
      <c r="BG25" s="163"/>
      <c r="BH25" s="163"/>
      <c r="BI25" s="163"/>
      <c r="BJ25" s="164"/>
    </row>
    <row r="26" spans="1:62" ht="40.5" customHeight="1">
      <c r="A26" s="162"/>
      <c r="B26" s="163"/>
      <c r="C26" s="164"/>
      <c r="D26" s="165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7"/>
      <c r="R26" s="165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7"/>
      <c r="BD26" s="162"/>
      <c r="BE26" s="163"/>
      <c r="BF26" s="163"/>
      <c r="BG26" s="163"/>
      <c r="BH26" s="163"/>
      <c r="BI26" s="163"/>
      <c r="BJ26" s="164"/>
    </row>
    <row r="27" spans="1:62" ht="40.5" customHeight="1">
      <c r="A27" s="162"/>
      <c r="B27" s="163"/>
      <c r="C27" s="164"/>
      <c r="D27" s="165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7"/>
      <c r="R27" s="165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7"/>
      <c r="BD27" s="162"/>
      <c r="BE27" s="163"/>
      <c r="BF27" s="163"/>
      <c r="BG27" s="163"/>
      <c r="BH27" s="163"/>
      <c r="BI27" s="163"/>
      <c r="BJ27" s="164"/>
    </row>
    <row r="28" spans="1:62" ht="40.5" customHeight="1">
      <c r="A28" s="162"/>
      <c r="B28" s="163"/>
      <c r="C28" s="164"/>
      <c r="D28" s="165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7"/>
      <c r="R28" s="165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7"/>
      <c r="BD28" s="162"/>
      <c r="BE28" s="163"/>
      <c r="BF28" s="163"/>
      <c r="BG28" s="163"/>
      <c r="BH28" s="163"/>
      <c r="BI28" s="163"/>
      <c r="BJ28" s="164"/>
    </row>
    <row r="29" spans="1:62" ht="40.5" customHeight="1">
      <c r="A29" s="162"/>
      <c r="B29" s="163"/>
      <c r="C29" s="164"/>
      <c r="D29" s="165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7"/>
      <c r="R29" s="165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7"/>
      <c r="BD29" s="162"/>
      <c r="BE29" s="163"/>
      <c r="BF29" s="163"/>
      <c r="BG29" s="163"/>
      <c r="BH29" s="163"/>
      <c r="BI29" s="163"/>
      <c r="BJ29" s="164"/>
    </row>
    <row r="30" spans="1:62" ht="40.5" customHeight="1">
      <c r="A30" s="162"/>
      <c r="B30" s="163"/>
      <c r="C30" s="164"/>
      <c r="D30" s="165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7"/>
      <c r="R30" s="165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7"/>
      <c r="BD30" s="162"/>
      <c r="BE30" s="163"/>
      <c r="BF30" s="163"/>
      <c r="BG30" s="163"/>
      <c r="BH30" s="163"/>
      <c r="BI30" s="163"/>
      <c r="BJ30" s="164"/>
    </row>
    <row r="31" spans="1:62" ht="40.5" customHeight="1">
      <c r="A31" s="162"/>
      <c r="B31" s="163"/>
      <c r="C31" s="164"/>
      <c r="D31" s="165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7"/>
      <c r="R31" s="165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7"/>
      <c r="BD31" s="162"/>
      <c r="BE31" s="163"/>
      <c r="BF31" s="163"/>
      <c r="BG31" s="163"/>
      <c r="BH31" s="163"/>
      <c r="BI31" s="163"/>
      <c r="BJ31" s="164"/>
    </row>
    <row r="32" spans="1:62" ht="40.5" customHeight="1">
      <c r="A32" s="153"/>
      <c r="B32" s="154"/>
      <c r="C32" s="155"/>
      <c r="D32" s="156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8"/>
      <c r="R32" s="156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8"/>
      <c r="BD32" s="153"/>
      <c r="BE32" s="154"/>
      <c r="BF32" s="154"/>
      <c r="BG32" s="154"/>
      <c r="BH32" s="154"/>
      <c r="BI32" s="154"/>
      <c r="BJ32" s="155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6A9AE6-824F-4C58-9E40-AE6CAE8AE500}"/>
</file>

<file path=customXml/itemProps3.xml><?xml version="1.0" encoding="utf-8"?>
<ds:datastoreItem xmlns:ds="http://schemas.openxmlformats.org/officeDocument/2006/customXml" ds:itemID="{011DAE9A-7E43-4B8A-A380-4C7F6BA6A403}">
  <ds:schemaRefs>
    <ds:schemaRef ds:uri="b9cc7365-e218-4624-aedb-0a55e821af1f"/>
    <ds:schemaRef ds:uri="4a1f72ec-30b8-4383-892a-fcacdd251f13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CSVイメージ_データ1</vt:lpstr>
      <vt:lpstr>CSVイメージ_データ2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2025-06-23T01:37:11Z</cp:lastPrinted>
  <dcterms:created xsi:type="dcterms:W3CDTF">2001-03-06T02:20:07Z</dcterms:created>
  <dcterms:modified xsi:type="dcterms:W3CDTF">2025-08-26T06:07:20Z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